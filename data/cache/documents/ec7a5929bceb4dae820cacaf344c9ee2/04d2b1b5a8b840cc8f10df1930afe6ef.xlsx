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codeName="ЦяКнига"/>
  <mc:AlternateContent xmlns:mc="http://schemas.openxmlformats.org/markup-compatibility/2006">
    <mc:Choice Requires="x15">
      <x15ac:absPath xmlns:x15ac="http://schemas.microsoft.com/office/spreadsheetml/2010/11/ac" url="C:\Users\lebed\OneDrive\Документы\2024\2026\Лісозаготівля\Ніжинське\"/>
    </mc:Choice>
  </mc:AlternateContent>
  <workbookProtection workbookAlgorithmName="SHA-512" workbookHashValue="0ZFFd8a5eSzp6Y6hMwJdfsx0AUtfW+auigLAG9XQfFPetne1xX4yDuwdFxl/ZfQ+qTA+I1/5jW5kyXLs6Jmcow==" workbookSaltValue="dNGuj94VFSYzIF3DX8xIzw==" workbookSpinCount="100000" lockStructure="1"/>
  <bookViews>
    <workbookView xWindow="0" yWindow="0" windowWidth="24000" windowHeight="10905" firstSheet="2" activeTab="2"/>
  </bookViews>
  <sheets>
    <sheet name="ОВ" sheetId="5" state="hidden" r:id="rId1"/>
    <sheet name="Коеф." sheetId="10" state="hidden" r:id="rId2"/>
    <sheet name="Сітка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5" l="1"/>
  <c r="C45" i="5"/>
  <c r="D45" i="5"/>
  <c r="G45" i="5"/>
  <c r="E45" i="5"/>
  <c r="D4" i="7" l="1"/>
  <c r="C4" i="7" s="1"/>
  <c r="D7" i="7"/>
  <c r="C7" i="7" s="1"/>
  <c r="D3" i="7"/>
  <c r="D6" i="7"/>
  <c r="D5" i="7"/>
  <c r="C5" i="7" l="1"/>
  <c r="C6" i="7"/>
  <c r="C3" i="7"/>
  <c r="E23" i="10" l="1"/>
  <c r="E29" i="10"/>
  <c r="O17" i="10"/>
  <c r="J14" i="10"/>
  <c r="E21" i="10"/>
  <c r="E26" i="10"/>
  <c r="E31" i="10"/>
  <c r="J10" i="10"/>
  <c r="J15" i="10"/>
  <c r="J22" i="10"/>
  <c r="J27" i="10"/>
  <c r="O7" i="10"/>
  <c r="O11" i="10"/>
  <c r="O16" i="10"/>
  <c r="O29" i="10"/>
  <c r="T8" i="10"/>
  <c r="T13" i="10"/>
  <c r="T17" i="10"/>
  <c r="T25" i="10"/>
  <c r="T30" i="10"/>
  <c r="E17" i="10"/>
  <c r="E22" i="10"/>
  <c r="E27" i="10"/>
  <c r="J16" i="10"/>
  <c r="J23" i="10"/>
  <c r="J29" i="10"/>
  <c r="O8" i="10"/>
  <c r="O13" i="10"/>
  <c r="O25" i="10"/>
  <c r="O30" i="10"/>
  <c r="T9" i="10"/>
  <c r="T14" i="10"/>
  <c r="T21" i="10"/>
  <c r="T26" i="10"/>
  <c r="T31" i="10"/>
  <c r="E11" i="10"/>
  <c r="E25" i="10"/>
  <c r="T11" i="10"/>
  <c r="E10" i="10"/>
  <c r="E15" i="10"/>
  <c r="E8" i="10"/>
  <c r="E14" i="10"/>
  <c r="E7" i="10"/>
  <c r="E16" i="10"/>
  <c r="J8" i="10"/>
  <c r="J17" i="10"/>
  <c r="J25" i="10"/>
  <c r="T10" i="10"/>
  <c r="T15" i="10"/>
  <c r="T22" i="10"/>
  <c r="T27" i="10"/>
  <c r="E30" i="10"/>
  <c r="J9" i="10"/>
  <c r="J21" i="10"/>
  <c r="J26" i="10"/>
  <c r="J31" i="10"/>
  <c r="O10" i="10"/>
  <c r="O15" i="10"/>
  <c r="O22" i="10"/>
  <c r="O27" i="10"/>
  <c r="T7" i="10"/>
  <c r="T16" i="10"/>
  <c r="T23" i="10"/>
  <c r="T29" i="10"/>
  <c r="J13" i="10"/>
  <c r="O21" i="10"/>
  <c r="J11" i="10"/>
  <c r="J30" i="10"/>
  <c r="O14" i="10"/>
  <c r="O31" i="10"/>
  <c r="J7" i="10"/>
  <c r="O9" i="10"/>
  <c r="O26" i="10"/>
  <c r="E9" i="10"/>
  <c r="E13" i="10"/>
  <c r="O23" i="10"/>
  <c r="G23" i="7" l="1"/>
  <c r="E15" i="7"/>
  <c r="I22" i="7"/>
  <c r="E22" i="7"/>
  <c r="C24" i="7"/>
  <c r="E21" i="7"/>
  <c r="I15" i="7"/>
  <c r="C15" i="7"/>
  <c r="E20" i="7"/>
  <c r="I17" i="7"/>
  <c r="C21" i="7"/>
  <c r="C14" i="7"/>
  <c r="G21" i="7"/>
  <c r="G20" i="7"/>
  <c r="G16" i="7"/>
  <c r="E23" i="7"/>
  <c r="G22" i="7"/>
  <c r="C17" i="7"/>
  <c r="E17" i="7"/>
  <c r="C16" i="7"/>
  <c r="I23" i="7"/>
  <c r="I20" i="7"/>
  <c r="E16" i="7"/>
  <c r="G17" i="7"/>
  <c r="I24" i="7"/>
  <c r="E24" i="7"/>
  <c r="I21" i="7"/>
  <c r="G15" i="7"/>
  <c r="G14" i="7"/>
  <c r="E14" i="7"/>
  <c r="C20" i="7"/>
  <c r="C22" i="7"/>
  <c r="G24" i="7"/>
  <c r="C23" i="7"/>
  <c r="I16" i="7"/>
  <c r="I14" i="7"/>
  <c r="E34" i="7"/>
  <c r="C34" i="7" l="1"/>
  <c r="C28" i="7"/>
  <c r="G33" i="7"/>
  <c r="I37" i="7"/>
  <c r="I32" i="7"/>
  <c r="G38" i="7"/>
  <c r="E37" i="7"/>
  <c r="E33" i="7"/>
  <c r="C30" i="7"/>
  <c r="E30" i="7"/>
  <c r="E36" i="7"/>
  <c r="G36" i="7"/>
  <c r="C29" i="7"/>
  <c r="C37" i="7"/>
  <c r="G28" i="7"/>
  <c r="G37" i="7"/>
  <c r="E28" i="7"/>
  <c r="I38" i="7"/>
  <c r="I34" i="7"/>
  <c r="I28" i="7"/>
  <c r="G29" i="7"/>
  <c r="C36" i="7"/>
  <c r="E32" i="7"/>
  <c r="I33" i="7"/>
  <c r="G32" i="7"/>
  <c r="C38" i="7"/>
  <c r="I30" i="7"/>
  <c r="I36" i="7"/>
  <c r="I29" i="7"/>
  <c r="C32" i="7"/>
  <c r="E38" i="7"/>
  <c r="G30" i="7"/>
  <c r="E29" i="7"/>
  <c r="C33" i="7"/>
  <c r="G34" i="7"/>
  <c r="C18" i="7" l="1"/>
  <c r="I18" i="7" l="1"/>
  <c r="E18" i="7"/>
  <c r="G18" i="7"/>
  <c r="M18" i="5" l="1"/>
  <c r="K24" i="5"/>
  <c r="C24" i="5"/>
  <c r="M16" i="5"/>
  <c r="G24" i="5"/>
  <c r="M14" i="5"/>
  <c r="H3" i="7" s="1"/>
  <c r="M23" i="5"/>
  <c r="M22" i="5"/>
  <c r="M21" i="5"/>
  <c r="M20" i="5"/>
  <c r="M19" i="5"/>
  <c r="M15" i="5" l="1"/>
  <c r="E24" i="5"/>
  <c r="M17" i="5"/>
  <c r="I24" i="5"/>
  <c r="F6" i="7" l="1"/>
  <c r="M24" i="5"/>
  <c r="F7" i="7"/>
  <c r="F3" i="7"/>
  <c r="G3" i="7" s="1"/>
  <c r="E3" i="7" s="1"/>
  <c r="F4" i="7"/>
  <c r="G4" i="7" s="1"/>
  <c r="E4" i="7" s="1"/>
  <c r="F5" i="7"/>
  <c r="G5" i="7" l="1"/>
  <c r="G7" i="7"/>
  <c r="E7" i="7" s="1"/>
  <c r="D38" i="7"/>
  <c r="B29" i="7"/>
  <c r="H38" i="7"/>
  <c r="F38" i="7"/>
  <c r="B34" i="7"/>
  <c r="B33" i="7"/>
  <c r="H36" i="7"/>
  <c r="B36" i="7"/>
  <c r="B28" i="7"/>
  <c r="H33" i="7"/>
  <c r="F30" i="7"/>
  <c r="D29" i="7"/>
  <c r="D37" i="7"/>
  <c r="D32" i="7"/>
  <c r="F37" i="7"/>
  <c r="H29" i="7"/>
  <c r="H30" i="7"/>
  <c r="F33" i="7"/>
  <c r="D36" i="7"/>
  <c r="D30" i="7"/>
  <c r="B38" i="7"/>
  <c r="B37" i="7"/>
  <c r="F36" i="7"/>
  <c r="D33" i="7"/>
  <c r="F34" i="7"/>
  <c r="B32" i="7"/>
  <c r="D34" i="7"/>
  <c r="F32" i="7"/>
  <c r="D28" i="7"/>
  <c r="F28" i="7"/>
  <c r="F29" i="7"/>
  <c r="H32" i="7"/>
  <c r="B30" i="7"/>
  <c r="H28" i="7"/>
  <c r="H37" i="7"/>
  <c r="H34" i="7"/>
  <c r="G6" i="7" l="1"/>
  <c r="E6" i="7" s="1"/>
  <c r="B24" i="7" s="1"/>
  <c r="E5" i="7"/>
  <c r="H17" i="7"/>
  <c r="D16" i="7"/>
  <c r="B16" i="7"/>
  <c r="D15" i="7"/>
  <c r="F15" i="7"/>
  <c r="F16" i="7"/>
  <c r="B17" i="7"/>
  <c r="D17" i="7"/>
  <c r="H16" i="7"/>
  <c r="H15" i="7"/>
  <c r="B14" i="7"/>
  <c r="H14" i="7"/>
  <c r="F14" i="7"/>
  <c r="B15" i="7"/>
  <c r="D14" i="7"/>
  <c r="F17" i="7"/>
  <c r="D18" i="7"/>
  <c r="H18" i="7"/>
  <c r="F18" i="7"/>
  <c r="B18" i="7"/>
  <c r="D24" i="7" l="1"/>
  <c r="F24" i="7"/>
  <c r="H24" i="7"/>
  <c r="H22" i="7"/>
  <c r="F21" i="7"/>
  <c r="H23" i="7"/>
  <c r="F22" i="7"/>
  <c r="B20" i="7"/>
  <c r="B22" i="7"/>
  <c r="B23" i="7"/>
  <c r="D23" i="7"/>
  <c r="D20" i="7"/>
  <c r="D22" i="7"/>
  <c r="H21" i="7"/>
  <c r="H20" i="7"/>
  <c r="F23" i="7"/>
  <c r="B21" i="7"/>
  <c r="F20" i="7"/>
  <c r="D21" i="7"/>
</calcChain>
</file>

<file path=xl/sharedStrings.xml><?xml version="1.0" encoding="utf-8"?>
<sst xmlns="http://schemas.openxmlformats.org/spreadsheetml/2006/main" count="174" uniqueCount="87">
  <si>
    <t>Перелік надання послуг</t>
  </si>
  <si>
    <t>Твердолистяні</t>
  </si>
  <si>
    <t>Хвойні та м'яколистяні</t>
  </si>
  <si>
    <t>Нормальні умови</t>
  </si>
  <si>
    <t>Важкі умови</t>
  </si>
  <si>
    <t xml:space="preserve">  - до 0,50</t>
  </si>
  <si>
    <t xml:space="preserve">  - від 0,50 до 0,70</t>
  </si>
  <si>
    <t xml:space="preserve">  - від 0,70 до 1,00</t>
  </si>
  <si>
    <t xml:space="preserve">  - більше 1,00</t>
  </si>
  <si>
    <t>3. Заготівля деревини на РФіОЛ та інших вибіркових рубках в сортиментах при середньому об'ємі хлиста, м3:</t>
  </si>
  <si>
    <t xml:space="preserve">  - до 0,30</t>
  </si>
  <si>
    <t xml:space="preserve">  - від 0,30 до 0,50</t>
  </si>
  <si>
    <t xml:space="preserve">  - більше 0,70</t>
  </si>
  <si>
    <t>Хмиз довжиною до 2 м</t>
  </si>
  <si>
    <t xml:space="preserve"> - до 4,0</t>
  </si>
  <si>
    <t xml:space="preserve"> - 4,0-9,0</t>
  </si>
  <si>
    <t xml:space="preserve"> - більше 9,0</t>
  </si>
  <si>
    <t>Хмиз довжиною 2 м - 4 м</t>
  </si>
  <si>
    <t xml:space="preserve"> - до 5,0</t>
  </si>
  <si>
    <t xml:space="preserve"> - 5,0-16,0</t>
  </si>
  <si>
    <t xml:space="preserve"> - більше 16,0</t>
  </si>
  <si>
    <t>Хмиз довжиною більше 4 м</t>
  </si>
  <si>
    <t>Ціна 1</t>
  </si>
  <si>
    <t>Ціна 2</t>
  </si>
  <si>
    <t>Ціна 3</t>
  </si>
  <si>
    <t xml:space="preserve">Середня ціна </t>
  </si>
  <si>
    <t>1. Заготівля деревини на РГК та ССР в сортиментах при середньому об'ємі хлиста, м3:</t>
  </si>
  <si>
    <t>2. Трелювання деревини на РГК, ССР та інших суцільних рубках в сортиментах, м3:</t>
  </si>
  <si>
    <t>4. Трелювання деревини на РФіОЛ та інших вибіркових рубках в сортиментах , м3:</t>
  </si>
  <si>
    <r>
      <t xml:space="preserve">5. Освітлення та прочищення,
 </t>
    </r>
    <r>
      <rPr>
        <b/>
        <sz val="11"/>
        <color rgb="FFFF0000"/>
        <rFont val="Times New Roman"/>
        <family val="1"/>
        <charset val="204"/>
      </rPr>
      <t>без збирання хмизу</t>
    </r>
    <r>
      <rPr>
        <b/>
        <sz val="11"/>
        <color theme="1"/>
        <rFont val="Times New Roman"/>
        <family val="1"/>
        <charset val="204"/>
      </rPr>
      <t xml:space="preserve">
Маса, що вирубується, м3/га</t>
    </r>
  </si>
  <si>
    <t>Коеф.</t>
  </si>
  <si>
    <t>Разом</t>
  </si>
  <si>
    <t>Показник</t>
  </si>
  <si>
    <t>Заготівля деревини на РГК та ССР</t>
  </si>
  <si>
    <t>Трелювання деревини на РГК та ССР</t>
  </si>
  <si>
    <t>Трелювання деревини на РФіОЛ</t>
  </si>
  <si>
    <t>Обсяг надання послуг з заготівлі ліквідної деревини на РГК та ССР</t>
  </si>
  <si>
    <t>Обсяг надання послуг з заготівлі ліквідної деревини на РФіОЛ</t>
  </si>
  <si>
    <t>Обсяг надання послуг зтрелювання ліквідної деревини на РГК та ССР</t>
  </si>
  <si>
    <t>Обсяг надання послуг з трелювання ліквідної деревини на РФіОЛ</t>
  </si>
  <si>
    <t>Обсяг надання послуг з заготівлі хмизу на рубках ОСВ, ПРЧ та ПРЖ</t>
  </si>
  <si>
    <t>- за Лотом</t>
  </si>
  <si>
    <t>№ лоту</t>
  </si>
  <si>
    <t>Середня ціна надання послуг з заготівлі ліквідної деревини на РГК та ССР</t>
  </si>
  <si>
    <t>Середня ціна  надання послуг зтрелювання ліквідної деревини на РГК та ССР</t>
  </si>
  <si>
    <t>Середня ціна надання послуг з заготівлі ліквідної деревини на РФіОЛ</t>
  </si>
  <si>
    <t>Середня ціна  надання послуг з трелювання ліквідної деревини на РФіОЛ</t>
  </si>
  <si>
    <t>Середня ціна  надання послуг з заготівлі хмизу на рубках ОСВ, ПРЧ та ПРЖ</t>
  </si>
  <si>
    <t>Ціна, грн без ПДВ</t>
  </si>
  <si>
    <t>надання послуг з заготівлі ліквідної деревини на РГК та ССР</t>
  </si>
  <si>
    <t>надання послуг зтрелювання ліквідної деревини на РГК та ССР</t>
  </si>
  <si>
    <t>надання послуг з заготівлі ліквідної деревини на РФіОЛ</t>
  </si>
  <si>
    <t>надання послуг з трелювання ліквідної деревини на РФіОЛ</t>
  </si>
  <si>
    <t>надання послуг з заготівлі хмизу на рубках ОСВ, ПРЧ та ПРЖ</t>
  </si>
  <si>
    <t>Очікувана вартість</t>
  </si>
  <si>
    <t>Заготівля хмизу</t>
  </si>
  <si>
    <t xml:space="preserve">* на РГК з метою раціонального використання деревини до запропонованих розцінок  застосовувати коефіцієнти:   </t>
  </si>
  <si>
    <t>Порода</t>
  </si>
  <si>
    <t>Ділова деревина</t>
  </si>
  <si>
    <t>Дров’яна деревина</t>
  </si>
  <si>
    <t>Твердолистяні та м’яколистяні</t>
  </si>
  <si>
    <t>Хвойні</t>
  </si>
  <si>
    <t>так</t>
  </si>
  <si>
    <t>ні</t>
  </si>
  <si>
    <t>Заготівля деревини на РФіОЛ</t>
  </si>
  <si>
    <t>Вартість надання послуг, грн, без ПДВ</t>
  </si>
  <si>
    <t>ВИЗНАЧЕННЯ СЕРЕДНЬОЇ ВАРТОСТІ КОЖНОГО ВИДУ ПОСЛУГ</t>
  </si>
  <si>
    <t>Перелік робіт</t>
  </si>
  <si>
    <t>Обсяги надання послуг</t>
  </si>
  <si>
    <t>Відмітка про надання послуг</t>
  </si>
  <si>
    <t>Початкова ціна лоту, грн, без ПДВ</t>
  </si>
  <si>
    <t>ПАРАМЕТРИ ЛОТУ</t>
  </si>
  <si>
    <t>__</t>
  </si>
  <si>
    <r>
      <t>Гранична ціна надання послуг за 1м</t>
    </r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, грн, без ПДВ</t>
    </r>
  </si>
  <si>
    <t>Коефіцієнт частки вартості</t>
  </si>
  <si>
    <t>Тендерна пропозиція учасника, 
грн. без ПДВ</t>
  </si>
  <si>
    <t>Коефіцієнт ціни</t>
  </si>
  <si>
    <t>1. Заготівля ліквідної деревини на РГК та ССР та інших суцільнолісосічних рубках в сортиментах при середньому об'ємі хлиста, м3:</t>
  </si>
  <si>
    <t>2. Трелювання ліквідної деревини на РГК, ССР та інших суцільнолісосічних рубках в сортиментах, м3:</t>
  </si>
  <si>
    <t>3. Заготівля ліквідної деревини на РФіОЛ та інших вибіркових рубках в сортиментах при середньому об'ємі хлиста, м3:</t>
  </si>
  <si>
    <t>4. Трелювання ліквідної деревини на РФіОЛ та інших вибіркових рубках в сортиментах , м3:</t>
  </si>
  <si>
    <t>5. Заготівля хмизу на рубках ОСВ, ПРЧ та ПРЖ без збирання
Маса, що вирубується, м3/га</t>
  </si>
  <si>
    <r>
      <t>СІТКА РОЗЦІНОК
(на надання лісозаготівельних послуг в грн. без ПДВ за 1 м</t>
    </r>
    <r>
      <rPr>
        <b/>
        <vertAlign val="superscript"/>
        <sz val="14"/>
        <color theme="1"/>
        <rFont val="Times New Roman"/>
        <family val="1"/>
        <charset val="204"/>
      </rPr>
      <t>3</t>
    </r>
    <r>
      <rPr>
        <b/>
        <sz val="14"/>
        <color theme="1"/>
        <rFont val="Times New Roman"/>
        <family val="1"/>
        <charset val="204"/>
      </rPr>
      <t>)</t>
    </r>
  </si>
  <si>
    <t>ІНЗ: №</t>
  </si>
  <si>
    <r>
      <t>Обсяг надання посуг, м</t>
    </r>
    <r>
      <rPr>
        <vertAlign val="superscript"/>
        <sz val="14"/>
        <color theme="1"/>
        <rFont val="Times New Roman"/>
        <family val="1"/>
        <charset val="204"/>
      </rPr>
      <t>3</t>
    </r>
  </si>
  <si>
    <t>-</t>
  </si>
  <si>
    <t>9RKSZM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</si>
</sst>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0"/>
    <numFmt numFmtId="166" formatCode="#,##0.000000"/>
    <numFmt numFmtId="167" formatCode="0.000000"/>
    <numFmt numFmtId="168" formatCode="#,##0.00000000000"/>
  </numFmts>
  <fonts count="2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FDC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44">
    <xf numFmtId="0" fontId="0" fillId="0" borderId="0" xfId="0"/>
    <xf numFmtId="0" fontId="2" fillId="0" borderId="0" xfId="0" applyFont="1"/>
    <xf numFmtId="0" fontId="8" fillId="0" borderId="31" xfId="1" applyFont="1" applyBorder="1" applyAlignment="1">
      <alignment vertical="center" wrapText="1" shrinkToFit="1"/>
    </xf>
    <xf numFmtId="0" fontId="8" fillId="0" borderId="28" xfId="1" applyFont="1" applyBorder="1" applyAlignment="1">
      <alignment vertical="center" wrapText="1" shrinkToFit="1"/>
    </xf>
    <xf numFmtId="0" fontId="7" fillId="0" borderId="3" xfId="1" applyFont="1" applyBorder="1" applyAlignment="1">
      <alignment vertical="center" wrapText="1" shrinkToFit="1"/>
    </xf>
    <xf numFmtId="0" fontId="7" fillId="0" borderId="5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8" fillId="0" borderId="0" xfId="1" applyFont="1" applyAlignment="1">
      <alignment vertical="center" wrapText="1" shrinkToFit="1"/>
    </xf>
    <xf numFmtId="0" fontId="9" fillId="0" borderId="3" xfId="2" applyFont="1" applyBorder="1" applyAlignment="1">
      <alignment vertical="center" wrapText="1"/>
    </xf>
    <xf numFmtId="0" fontId="9" fillId="0" borderId="6" xfId="2" applyFont="1" applyBorder="1" applyAlignment="1">
      <alignment horizontal="center" vertical="center" wrapText="1" shrinkToFit="1"/>
    </xf>
    <xf numFmtId="0" fontId="11" fillId="0" borderId="7" xfId="2" applyFont="1" applyBorder="1" applyAlignment="1">
      <alignment horizontal="left" vertical="center" wrapText="1" shrinkToFit="1"/>
    </xf>
    <xf numFmtId="0" fontId="11" fillId="0" borderId="21" xfId="2" applyFont="1" applyBorder="1" applyAlignment="1">
      <alignment horizontal="left" vertical="center" wrapText="1" shrinkToFit="1"/>
    </xf>
    <xf numFmtId="4" fontId="0" fillId="0" borderId="0" xfId="0" applyNumberFormat="1"/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42" xfId="0" applyFont="1" applyBorder="1" applyAlignment="1" applyProtection="1">
      <alignment horizontal="center" vertical="center" wrapText="1"/>
      <protection hidden="1"/>
    </xf>
    <xf numFmtId="0" fontId="4" fillId="0" borderId="7" xfId="1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43" xfId="0" applyFont="1" applyBorder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vertical="center" wrapText="1" shrinkToFit="1"/>
      <protection hidden="1"/>
    </xf>
    <xf numFmtId="2" fontId="2" fillId="0" borderId="8" xfId="0" applyNumberFormat="1" applyFont="1" applyBorder="1" applyAlignment="1" applyProtection="1">
      <alignment horizontal="center" vertical="center"/>
      <protection hidden="1"/>
    </xf>
    <xf numFmtId="0" fontId="5" fillId="0" borderId="11" xfId="1" applyFont="1" applyBorder="1" applyAlignment="1" applyProtection="1">
      <alignment vertical="center" wrapText="1" shrinkToFit="1"/>
      <protection hidden="1"/>
    </xf>
    <xf numFmtId="2" fontId="2" fillId="0" borderId="12" xfId="0" applyNumberFormat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vertical="center" wrapText="1" shrinkToFit="1"/>
      <protection hidden="1"/>
    </xf>
    <xf numFmtId="0" fontId="4" fillId="0" borderId="5" xfId="1" applyFont="1" applyBorder="1" applyAlignment="1" applyProtection="1">
      <alignment vertical="center" wrapText="1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vertical="center" wrapText="1"/>
      <protection hidden="1"/>
    </xf>
    <xf numFmtId="0" fontId="3" fillId="0" borderId="3" xfId="2" applyFont="1" applyBorder="1" applyAlignment="1" applyProtection="1">
      <alignment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42" xfId="0" applyFont="1" applyBorder="1" applyAlignment="1" applyProtection="1">
      <alignment horizontal="center" vertical="center"/>
      <protection hidden="1"/>
    </xf>
    <xf numFmtId="0" fontId="2" fillId="0" borderId="6" xfId="2" applyFont="1" applyBorder="1" applyAlignment="1" applyProtection="1">
      <alignment horizontal="left" vertical="center" wrapText="1" shrinkToFit="1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0" fontId="2" fillId="0" borderId="7" xfId="2" applyFont="1" applyBorder="1" applyAlignment="1" applyProtection="1">
      <alignment horizontal="left" vertical="center" wrapText="1" shrinkToFit="1"/>
      <protection hidden="1"/>
    </xf>
    <xf numFmtId="0" fontId="2" fillId="0" borderId="21" xfId="2" applyFont="1" applyBorder="1" applyAlignment="1" applyProtection="1">
      <alignment horizontal="left" vertical="center" wrapText="1" shrinkToFit="1"/>
      <protection hidden="1"/>
    </xf>
    <xf numFmtId="2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44" xfId="0" applyNumberFormat="1" applyFont="1" applyBorder="1" applyAlignment="1" applyProtection="1">
      <alignment horizontal="center" vertical="center"/>
      <protection hidden="1"/>
    </xf>
    <xf numFmtId="165" fontId="2" fillId="0" borderId="49" xfId="0" applyNumberFormat="1" applyFont="1" applyBorder="1" applyAlignment="1" applyProtection="1">
      <alignment horizontal="center" vertical="center"/>
      <protection hidden="1"/>
    </xf>
    <xf numFmtId="165" fontId="2" fillId="0" borderId="46" xfId="0" applyNumberFormat="1" applyFont="1" applyBorder="1" applyAlignment="1" applyProtection="1">
      <alignment horizontal="center" vertical="center"/>
      <protection hidden="1"/>
    </xf>
    <xf numFmtId="165" fontId="2" fillId="0" borderId="43" xfId="0" applyNumberFormat="1" applyFont="1" applyBorder="1" applyAlignment="1" applyProtection="1">
      <alignment horizontal="center" vertical="center"/>
      <protection hidden="1"/>
    </xf>
    <xf numFmtId="165" fontId="2" fillId="0" borderId="45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0" fillId="0" borderId="0" xfId="0" applyAlignment="1">
      <alignment vertical="top"/>
    </xf>
    <xf numFmtId="0" fontId="11" fillId="0" borderId="32" xfId="0" quotePrefix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2" xfId="0" applyFont="1" applyBorder="1"/>
    <xf numFmtId="2" fontId="11" fillId="0" borderId="32" xfId="0" applyNumberFormat="1" applyFont="1" applyBorder="1" applyAlignment="1">
      <alignment horizontal="center"/>
    </xf>
    <xf numFmtId="4" fontId="11" fillId="0" borderId="32" xfId="0" applyNumberFormat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4" fontId="11" fillId="0" borderId="50" xfId="0" applyNumberFormat="1" applyFont="1" applyBorder="1" applyAlignment="1">
      <alignment horizontal="center" vertical="center"/>
    </xf>
    <xf numFmtId="4" fontId="11" fillId="0" borderId="45" xfId="0" applyNumberFormat="1" applyFont="1" applyBorder="1" applyAlignment="1">
      <alignment horizontal="center" vertical="center"/>
    </xf>
    <xf numFmtId="4" fontId="11" fillId="0" borderId="44" xfId="0" applyNumberFormat="1" applyFont="1" applyBorder="1" applyAlignment="1">
      <alignment horizontal="center"/>
    </xf>
    <xf numFmtId="0" fontId="3" fillId="0" borderId="0" xfId="0" applyFont="1"/>
    <xf numFmtId="0" fontId="12" fillId="0" borderId="0" xfId="0" applyFont="1"/>
    <xf numFmtId="166" fontId="11" fillId="0" borderId="32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167" fontId="2" fillId="0" borderId="44" xfId="0" applyNumberFormat="1" applyFont="1" applyBorder="1" applyAlignment="1" applyProtection="1">
      <alignment horizontal="center" vertical="center"/>
      <protection hidden="1"/>
    </xf>
    <xf numFmtId="4" fontId="11" fillId="0" borderId="52" xfId="0" applyNumberFormat="1" applyFont="1" applyBorder="1" applyAlignment="1">
      <alignment horizontal="center" vertical="center"/>
    </xf>
    <xf numFmtId="167" fontId="2" fillId="0" borderId="49" xfId="0" applyNumberFormat="1" applyFont="1" applyBorder="1" applyAlignment="1" applyProtection="1">
      <alignment horizontal="center" vertical="center"/>
      <protection hidden="1"/>
    </xf>
    <xf numFmtId="167" fontId="2" fillId="0" borderId="42" xfId="0" applyNumberFormat="1" applyFont="1" applyBorder="1" applyAlignment="1" applyProtection="1">
      <alignment horizontal="center" vertical="center"/>
      <protection hidden="1"/>
    </xf>
    <xf numFmtId="165" fontId="2" fillId="0" borderId="42" xfId="0" applyNumberFormat="1" applyFont="1" applyBorder="1" applyAlignment="1" applyProtection="1">
      <alignment horizontal="center" vertical="center"/>
      <protection hidden="1"/>
    </xf>
    <xf numFmtId="2" fontId="2" fillId="0" borderId="13" xfId="0" applyNumberFormat="1" applyFont="1" applyBorder="1" applyAlignment="1" applyProtection="1">
      <alignment horizontal="center" vertical="center"/>
      <protection hidden="1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7" fillId="0" borderId="38" xfId="1" applyFont="1" applyBorder="1" applyAlignment="1">
      <alignment horizontal="left" vertical="center" wrapText="1"/>
    </xf>
    <xf numFmtId="0" fontId="11" fillId="6" borderId="8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2" fontId="11" fillId="6" borderId="8" xfId="0" applyNumberFormat="1" applyFont="1" applyFill="1" applyBorder="1" applyAlignment="1">
      <alignment horizontal="center" vertical="center"/>
    </xf>
    <xf numFmtId="2" fontId="11" fillId="6" borderId="32" xfId="0" applyNumberFormat="1" applyFont="1" applyFill="1" applyBorder="1" applyAlignment="1">
      <alignment horizontal="center" vertical="center"/>
    </xf>
    <xf numFmtId="2" fontId="11" fillId="6" borderId="31" xfId="0" applyNumberFormat="1" applyFont="1" applyFill="1" applyBorder="1" applyAlignment="1">
      <alignment horizontal="center" vertical="center"/>
    </xf>
    <xf numFmtId="2" fontId="9" fillId="3" borderId="20" xfId="0" applyNumberFormat="1" applyFont="1" applyFill="1" applyBorder="1" applyAlignment="1">
      <alignment horizontal="center" vertical="center"/>
    </xf>
    <xf numFmtId="165" fontId="9" fillId="3" borderId="10" xfId="0" applyNumberFormat="1" applyFont="1" applyFill="1" applyBorder="1" applyAlignment="1">
      <alignment horizontal="center" vertical="center"/>
    </xf>
    <xf numFmtId="2" fontId="11" fillId="6" borderId="33" xfId="0" applyNumberFormat="1" applyFont="1" applyFill="1" applyBorder="1" applyAlignment="1">
      <alignment horizontal="center" vertical="center"/>
    </xf>
    <xf numFmtId="2" fontId="11" fillId="7" borderId="33" xfId="0" applyNumberFormat="1" applyFont="1" applyFill="1" applyBorder="1" applyAlignment="1">
      <alignment horizontal="center" vertical="center"/>
    </xf>
    <xf numFmtId="2" fontId="11" fillId="7" borderId="32" xfId="0" applyNumberFormat="1" applyFont="1" applyFill="1" applyBorder="1" applyAlignment="1">
      <alignment horizontal="center" vertical="center"/>
    </xf>
    <xf numFmtId="2" fontId="11" fillId="7" borderId="31" xfId="0" applyNumberFormat="1" applyFont="1" applyFill="1" applyBorder="1" applyAlignment="1">
      <alignment horizontal="center" vertical="center"/>
    </xf>
    <xf numFmtId="2" fontId="9" fillId="4" borderId="20" xfId="0" applyNumberFormat="1" applyFont="1" applyFill="1" applyBorder="1" applyAlignment="1">
      <alignment horizontal="center" vertical="center"/>
    </xf>
    <xf numFmtId="165" fontId="9" fillId="4" borderId="20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11" fillId="6" borderId="12" xfId="0" applyNumberFormat="1" applyFont="1" applyFill="1" applyBorder="1" applyAlignment="1">
      <alignment horizontal="center" vertical="center"/>
    </xf>
    <xf numFmtId="2" fontId="11" fillId="6" borderId="27" xfId="0" applyNumberFormat="1" applyFont="1" applyFill="1" applyBorder="1" applyAlignment="1">
      <alignment horizontal="center" vertical="center"/>
    </xf>
    <xf numFmtId="2" fontId="11" fillId="6" borderId="28" xfId="0" applyNumberFormat="1" applyFont="1" applyFill="1" applyBorder="1" applyAlignment="1">
      <alignment horizontal="center" vertical="center"/>
    </xf>
    <xf numFmtId="2" fontId="9" fillId="3" borderId="29" xfId="0" applyNumberFormat="1" applyFont="1" applyFill="1" applyBorder="1" applyAlignment="1">
      <alignment horizontal="center" vertical="center"/>
    </xf>
    <xf numFmtId="2" fontId="11" fillId="6" borderId="30" xfId="0" applyNumberFormat="1" applyFont="1" applyFill="1" applyBorder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/>
    </xf>
    <xf numFmtId="2" fontId="11" fillId="7" borderId="27" xfId="0" applyNumberFormat="1" applyFont="1" applyFill="1" applyBorder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/>
    </xf>
    <xf numFmtId="2" fontId="9" fillId="4" borderId="29" xfId="0" applyNumberFormat="1" applyFont="1" applyFill="1" applyBorder="1" applyAlignment="1">
      <alignment horizontal="center" vertical="center"/>
    </xf>
    <xf numFmtId="2" fontId="11" fillId="6" borderId="13" xfId="0" applyNumberFormat="1" applyFont="1" applyFill="1" applyBorder="1" applyAlignment="1">
      <alignment horizontal="center" vertical="center"/>
    </xf>
    <xf numFmtId="2" fontId="11" fillId="6" borderId="34" xfId="0" applyNumberFormat="1" applyFont="1" applyFill="1" applyBorder="1" applyAlignment="1">
      <alignment horizontal="center" vertical="center"/>
    </xf>
    <xf numFmtId="2" fontId="11" fillId="6" borderId="35" xfId="0" applyNumberFormat="1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/>
    </xf>
    <xf numFmtId="2" fontId="11" fillId="6" borderId="36" xfId="0" applyNumberFormat="1" applyFont="1" applyFill="1" applyBorder="1" applyAlignment="1">
      <alignment horizontal="center" vertical="center"/>
    </xf>
    <xf numFmtId="2" fontId="11" fillId="7" borderId="36" xfId="0" applyNumberFormat="1" applyFont="1" applyFill="1" applyBorder="1" applyAlignment="1">
      <alignment horizontal="center" vertical="center"/>
    </xf>
    <xf numFmtId="2" fontId="11" fillId="7" borderId="34" xfId="0" applyNumberFormat="1" applyFont="1" applyFill="1" applyBorder="1" applyAlignment="1">
      <alignment horizontal="center" vertical="center"/>
    </xf>
    <xf numFmtId="2" fontId="11" fillId="7" borderId="35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1" fillId="7" borderId="40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7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2" fontId="11" fillId="2" borderId="20" xfId="0" applyNumberFormat="1" applyFont="1" applyFill="1" applyBorder="1" applyAlignment="1">
      <alignment horizontal="center" vertical="center"/>
    </xf>
    <xf numFmtId="2" fontId="11" fillId="7" borderId="8" xfId="0" applyNumberFormat="1" applyFont="1" applyFill="1" applyBorder="1" applyAlignment="1">
      <alignment horizontal="center" vertical="center"/>
    </xf>
    <xf numFmtId="2" fontId="11" fillId="4" borderId="20" xfId="0" applyNumberFormat="1" applyFont="1" applyFill="1" applyBorder="1" applyAlignment="1">
      <alignment horizontal="center" vertical="center"/>
    </xf>
    <xf numFmtId="2" fontId="11" fillId="2" borderId="23" xfId="0" applyNumberFormat="1" applyFont="1" applyFill="1" applyBorder="1" applyAlignment="1">
      <alignment horizontal="center" vertical="center"/>
    </xf>
    <xf numFmtId="2" fontId="11" fillId="4" borderId="23" xfId="0" applyNumberFormat="1" applyFont="1" applyFill="1" applyBorder="1" applyAlignment="1">
      <alignment horizontal="center" vertical="center"/>
    </xf>
    <xf numFmtId="164" fontId="11" fillId="4" borderId="19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5" fillId="0" borderId="47" xfId="1" applyFont="1" applyBorder="1" applyAlignment="1" applyProtection="1">
      <alignment vertical="center" wrapText="1" shrinkToFi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48" xfId="0" applyFont="1" applyBorder="1" applyAlignment="1" applyProtection="1">
      <alignment horizontal="center" vertical="center"/>
      <protection hidden="1"/>
    </xf>
    <xf numFmtId="0" fontId="2" fillId="0" borderId="0" xfId="2" applyFont="1" applyAlignment="1" applyProtection="1">
      <alignment horizontal="left" vertical="center" wrapText="1" shrinkToFit="1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Protection="1"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15" xfId="0" applyFont="1" applyBorder="1" applyAlignment="1" applyProtection="1">
      <alignment horizontal="center" vertical="center" wrapText="1"/>
      <protection hidden="1"/>
    </xf>
    <xf numFmtId="0" fontId="17" fillId="0" borderId="51" xfId="0" applyFont="1" applyBorder="1" applyAlignment="1" applyProtection="1">
      <alignment vertical="center" wrapText="1"/>
      <protection hidden="1"/>
    </xf>
    <xf numFmtId="0" fontId="17" fillId="0" borderId="54" xfId="0" applyFont="1" applyBorder="1" applyAlignment="1" applyProtection="1">
      <alignment horizontal="center" vertical="center" wrapText="1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0" fontId="12" fillId="0" borderId="43" xfId="0" applyFont="1" applyBorder="1" applyAlignment="1" applyProtection="1">
      <alignment horizontal="center" vertical="center" wrapText="1"/>
      <protection hidden="1"/>
    </xf>
    <xf numFmtId="0" fontId="12" fillId="0" borderId="32" xfId="0" applyFont="1" applyBorder="1" applyAlignment="1" applyProtection="1">
      <alignment horizontal="center" vertical="center"/>
      <protection hidden="1"/>
    </xf>
    <xf numFmtId="0" fontId="12" fillId="0" borderId="50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2" fillId="0" borderId="8" xfId="0" applyFont="1" applyBorder="1" applyAlignment="1" applyProtection="1">
      <alignment vertical="center"/>
      <protection hidden="1"/>
    </xf>
    <xf numFmtId="3" fontId="12" fillId="0" borderId="32" xfId="0" applyNumberFormat="1" applyFont="1" applyBorder="1" applyAlignment="1" applyProtection="1">
      <alignment horizontal="center" vertical="center"/>
      <protection hidden="1"/>
    </xf>
    <xf numFmtId="4" fontId="12" fillId="0" borderId="32" xfId="0" applyNumberFormat="1" applyFont="1" applyBorder="1" applyAlignment="1" applyProtection="1">
      <alignment horizontal="center" vertical="center"/>
      <protection hidden="1"/>
    </xf>
    <xf numFmtId="0" fontId="12" fillId="0" borderId="22" xfId="0" applyFont="1" applyBorder="1" applyAlignment="1" applyProtection="1">
      <alignment vertical="center"/>
      <protection hidden="1"/>
    </xf>
    <xf numFmtId="3" fontId="12" fillId="0" borderId="50" xfId="0" applyNumberFormat="1" applyFont="1" applyBorder="1" applyAlignment="1" applyProtection="1">
      <alignment horizontal="center" vertical="center"/>
      <protection hidden="1"/>
    </xf>
    <xf numFmtId="4" fontId="12" fillId="0" borderId="5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4" fontId="2" fillId="0" borderId="0" xfId="0" applyNumberFormat="1" applyFont="1"/>
    <xf numFmtId="0" fontId="20" fillId="0" borderId="0" xfId="0" applyFont="1"/>
    <xf numFmtId="0" fontId="3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168" fontId="11" fillId="0" borderId="32" xfId="0" applyNumberFormat="1" applyFont="1" applyBorder="1" applyAlignment="1">
      <alignment horizontal="center" vertical="center"/>
    </xf>
    <xf numFmtId="165" fontId="12" fillId="0" borderId="32" xfId="0" applyNumberFormat="1" applyFont="1" applyBorder="1" applyAlignment="1" applyProtection="1">
      <alignment horizontal="center" vertical="center"/>
      <protection hidden="1"/>
    </xf>
    <xf numFmtId="165" fontId="12" fillId="0" borderId="50" xfId="0" applyNumberFormat="1" applyFont="1" applyBorder="1" applyAlignment="1" applyProtection="1">
      <alignment horizontal="center" vertical="center"/>
      <protection hidden="1"/>
    </xf>
    <xf numFmtId="167" fontId="12" fillId="0" borderId="32" xfId="0" applyNumberFormat="1" applyFont="1" applyBorder="1" applyAlignment="1" applyProtection="1">
      <alignment horizontal="center" vertical="center" wrapText="1"/>
      <protection hidden="1"/>
    </xf>
    <xf numFmtId="167" fontId="12" fillId="0" borderId="50" xfId="0" applyNumberFormat="1" applyFont="1" applyBorder="1" applyAlignment="1" applyProtection="1">
      <alignment horizontal="center" vertical="center" wrapText="1"/>
      <protection hidden="1"/>
    </xf>
    <xf numFmtId="0" fontId="9" fillId="0" borderId="3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2" fontId="11" fillId="0" borderId="31" xfId="0" applyNumberFormat="1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2" fontId="11" fillId="0" borderId="33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27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9" fillId="4" borderId="3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9" fillId="3" borderId="19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13" fillId="0" borderId="3" xfId="0" applyFont="1" applyBorder="1" applyAlignment="1" applyProtection="1">
      <alignment horizontal="center" vertical="center"/>
      <protection hidden="1"/>
    </xf>
    <xf numFmtId="0" fontId="13" fillId="0" borderId="14" xfId="0" applyFont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15" xfId="0" applyFont="1" applyBorder="1" applyAlignment="1" applyProtection="1">
      <alignment horizontal="center" vertical="center" wrapText="1"/>
      <protection hidden="1"/>
    </xf>
    <xf numFmtId="4" fontId="12" fillId="8" borderId="49" xfId="0" applyNumberFormat="1" applyFont="1" applyFill="1" applyBorder="1" applyAlignment="1" applyProtection="1">
      <alignment horizontal="center" vertical="center"/>
      <protection locked="0"/>
    </xf>
    <xf numFmtId="4" fontId="12" fillId="8" borderId="53" xfId="0" applyNumberFormat="1" applyFont="1" applyFill="1" applyBorder="1" applyAlignment="1" applyProtection="1">
      <alignment horizontal="center" vertical="center"/>
      <protection locked="0"/>
    </xf>
    <xf numFmtId="4" fontId="12" fillId="8" borderId="58" xfId="0" applyNumberFormat="1" applyFont="1" applyFill="1" applyBorder="1" applyAlignment="1" applyProtection="1">
      <alignment horizontal="center" vertical="center"/>
      <protection locked="0"/>
    </xf>
    <xf numFmtId="0" fontId="3" fillId="0" borderId="47" xfId="2" applyFont="1" applyBorder="1" applyAlignment="1" applyProtection="1">
      <alignment horizontal="center" vertical="center" wrapText="1" shrinkToFit="1"/>
      <protection hidden="1"/>
    </xf>
    <xf numFmtId="0" fontId="3" fillId="0" borderId="0" xfId="2" applyFont="1" applyAlignment="1" applyProtection="1">
      <alignment horizontal="center" vertical="center" wrapText="1" shrinkToFit="1"/>
      <protection hidden="1"/>
    </xf>
    <xf numFmtId="0" fontId="3" fillId="0" borderId="48" xfId="2" applyFont="1" applyBorder="1" applyAlignment="1" applyProtection="1">
      <alignment horizontal="center" vertical="center" wrapText="1" shrinkToFi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12" fillId="8" borderId="27" xfId="0" applyFont="1" applyFill="1" applyBorder="1" applyAlignment="1" applyProtection="1">
      <alignment horizontal="center" vertical="center"/>
      <protection locked="0"/>
    </xf>
    <xf numFmtId="0" fontId="12" fillId="8" borderId="55" xfId="0" applyFont="1" applyFill="1" applyBorder="1" applyAlignment="1" applyProtection="1">
      <alignment horizontal="center" vertical="center"/>
      <protection locked="0"/>
    </xf>
    <xf numFmtId="0" fontId="12" fillId="8" borderId="57" xfId="0" applyFont="1" applyFill="1" applyBorder="1" applyAlignment="1" applyProtection="1">
      <alignment horizontal="center" vertical="center"/>
      <protection locked="0"/>
    </xf>
    <xf numFmtId="4" fontId="12" fillId="0" borderId="27" xfId="0" applyNumberFormat="1" applyFont="1" applyBorder="1" applyAlignment="1" applyProtection="1">
      <alignment horizontal="center" vertical="center"/>
      <protection hidden="1"/>
    </xf>
    <xf numFmtId="4" fontId="12" fillId="0" borderId="55" xfId="0" applyNumberFormat="1" applyFont="1" applyBorder="1" applyAlignment="1" applyProtection="1">
      <alignment horizontal="center" vertical="center"/>
      <protection hidden="1"/>
    </xf>
    <xf numFmtId="4" fontId="12" fillId="0" borderId="57" xfId="0" applyNumberFormat="1" applyFont="1" applyBorder="1" applyAlignment="1" applyProtection="1">
      <alignment horizontal="center" vertical="center"/>
      <protection hidden="1"/>
    </xf>
  </cellXfs>
  <cellStyles count="3">
    <cellStyle name="Звичайний" xfId="0" builtinId="0"/>
    <cellStyle name="Звичайний 2 2" xfId="2"/>
    <cellStyle name="Звичайний 2 2 2" xfId="1"/>
  </cellStyles>
  <dxfs count="9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AF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R45"/>
  <sheetViews>
    <sheetView zoomScale="70" zoomScaleNormal="70" workbookViewId="0">
      <selection activeCell="H14" sqref="H14:H23"/>
    </sheetView>
  </sheetViews>
  <sheetFormatPr defaultRowHeight="14.25"/>
  <cols>
    <col min="1" max="1" width="11.75" customWidth="1"/>
    <col min="2" max="3" width="16.5" customWidth="1"/>
    <col min="4" max="4" width="8.75" customWidth="1"/>
    <col min="5" max="5" width="16.5" customWidth="1"/>
    <col min="6" max="6" width="8.75" customWidth="1"/>
    <col min="7" max="7" width="16.5" customWidth="1"/>
    <col min="8" max="8" width="15.5" customWidth="1"/>
    <col min="9" max="9" width="16.75" customWidth="1"/>
    <col min="10" max="10" width="8.75" customWidth="1"/>
    <col min="11" max="11" width="16.75" customWidth="1"/>
    <col min="12" max="12" width="8.75" customWidth="1"/>
    <col min="13" max="13" width="12.75" customWidth="1"/>
    <col min="16" max="16" width="11.5" bestFit="1" customWidth="1"/>
    <col min="18" max="18" width="12.5" bestFit="1" customWidth="1"/>
  </cols>
  <sheetData>
    <row r="1" spans="1:17" ht="15">
      <c r="B1" s="183" t="s">
        <v>32</v>
      </c>
      <c r="C1" s="184"/>
      <c r="D1" s="184"/>
      <c r="E1" s="184"/>
      <c r="F1" s="184"/>
      <c r="G1" s="184"/>
      <c r="H1" s="185"/>
      <c r="I1" s="43" t="s">
        <v>48</v>
      </c>
      <c r="J1" s="53" t="s">
        <v>30</v>
      </c>
      <c r="K1" s="12"/>
      <c r="L1" s="12"/>
    </row>
    <row r="2" spans="1:17" ht="15" customHeight="1">
      <c r="B2" s="180" t="s">
        <v>43</v>
      </c>
      <c r="C2" s="181"/>
      <c r="D2" s="181"/>
      <c r="E2" s="181"/>
      <c r="F2" s="181"/>
      <c r="G2" s="181"/>
      <c r="H2" s="182"/>
      <c r="I2" s="44">
        <v>364</v>
      </c>
      <c r="J2" s="44">
        <v>1</v>
      </c>
      <c r="K2" s="12"/>
      <c r="L2" s="12"/>
    </row>
    <row r="3" spans="1:17" ht="15" customHeight="1">
      <c r="B3" s="180" t="s">
        <v>44</v>
      </c>
      <c r="C3" s="181"/>
      <c r="D3" s="181"/>
      <c r="E3" s="181"/>
      <c r="F3" s="181"/>
      <c r="G3" s="181"/>
      <c r="H3" s="182"/>
      <c r="I3" s="44">
        <v>229</v>
      </c>
      <c r="J3" s="44">
        <v>1</v>
      </c>
      <c r="K3" s="12"/>
      <c r="L3" s="12"/>
      <c r="Q3" s="166"/>
    </row>
    <row r="4" spans="1:17" ht="15" customHeight="1">
      <c r="B4" s="180" t="s">
        <v>45</v>
      </c>
      <c r="C4" s="181"/>
      <c r="D4" s="181"/>
      <c r="E4" s="181"/>
      <c r="F4" s="181"/>
      <c r="G4" s="181"/>
      <c r="H4" s="182"/>
      <c r="I4" s="44">
        <v>489</v>
      </c>
      <c r="J4" s="44">
        <v>1</v>
      </c>
      <c r="Q4" s="166"/>
    </row>
    <row r="5" spans="1:17" ht="15" customHeight="1">
      <c r="B5" s="180" t="s">
        <v>46</v>
      </c>
      <c r="C5" s="181"/>
      <c r="D5" s="181"/>
      <c r="E5" s="181"/>
      <c r="F5" s="181"/>
      <c r="G5" s="181"/>
      <c r="H5" s="182"/>
      <c r="I5" s="44">
        <v>239</v>
      </c>
      <c r="J5" s="44">
        <v>1</v>
      </c>
      <c r="Q5" s="166"/>
    </row>
    <row r="6" spans="1:17" ht="15" customHeight="1">
      <c r="B6" s="180" t="s">
        <v>47</v>
      </c>
      <c r="C6" s="181"/>
      <c r="D6" s="181"/>
      <c r="E6" s="181"/>
      <c r="F6" s="181"/>
      <c r="G6" s="181"/>
      <c r="H6" s="182"/>
      <c r="I6" s="44">
        <v>779</v>
      </c>
      <c r="J6" s="44">
        <v>1</v>
      </c>
      <c r="Q6" s="166"/>
    </row>
    <row r="7" spans="1:17">
      <c r="Q7" s="166"/>
    </row>
    <row r="8" spans="1:17" ht="15" thickBot="1">
      <c r="Q8" s="166"/>
    </row>
    <row r="9" spans="1:17" ht="15">
      <c r="A9" s="193"/>
      <c r="B9" s="192" t="s">
        <v>42</v>
      </c>
      <c r="C9" s="189" t="s">
        <v>54</v>
      </c>
      <c r="D9" s="189"/>
      <c r="E9" s="189"/>
      <c r="F9" s="189"/>
      <c r="G9" s="189"/>
      <c r="H9" s="189"/>
      <c r="I9" s="189"/>
      <c r="J9" s="189"/>
      <c r="K9" s="189"/>
      <c r="L9" s="190"/>
      <c r="M9" s="191"/>
      <c r="Q9" s="166"/>
    </row>
    <row r="10" spans="1:17">
      <c r="A10" s="194"/>
      <c r="B10" s="178"/>
      <c r="C10" s="179" t="s">
        <v>49</v>
      </c>
      <c r="D10" s="196" t="s">
        <v>30</v>
      </c>
      <c r="E10" s="179" t="s">
        <v>50</v>
      </c>
      <c r="F10" s="196" t="s">
        <v>30</v>
      </c>
      <c r="G10" s="179" t="s">
        <v>51</v>
      </c>
      <c r="H10" s="196" t="s">
        <v>30</v>
      </c>
      <c r="I10" s="179" t="s">
        <v>52</v>
      </c>
      <c r="J10" s="196" t="s">
        <v>30</v>
      </c>
      <c r="K10" s="179" t="s">
        <v>53</v>
      </c>
      <c r="L10" s="196" t="s">
        <v>30</v>
      </c>
      <c r="M10" s="188" t="s">
        <v>31</v>
      </c>
      <c r="Q10" s="166"/>
    </row>
    <row r="11" spans="1:17">
      <c r="A11" s="194"/>
      <c r="B11" s="178"/>
      <c r="C11" s="179"/>
      <c r="D11" s="197"/>
      <c r="E11" s="179"/>
      <c r="F11" s="197"/>
      <c r="G11" s="179"/>
      <c r="H11" s="197"/>
      <c r="I11" s="179"/>
      <c r="J11" s="197"/>
      <c r="K11" s="179"/>
      <c r="L11" s="197"/>
      <c r="M11" s="188"/>
      <c r="Q11" s="166"/>
    </row>
    <row r="12" spans="1:17">
      <c r="A12" s="194"/>
      <c r="B12" s="178"/>
      <c r="C12" s="179"/>
      <c r="D12" s="197"/>
      <c r="E12" s="179"/>
      <c r="F12" s="197"/>
      <c r="G12" s="179"/>
      <c r="H12" s="197"/>
      <c r="I12" s="179"/>
      <c r="J12" s="197"/>
      <c r="K12" s="179"/>
      <c r="L12" s="197"/>
      <c r="M12" s="188"/>
      <c r="Q12" s="166"/>
    </row>
    <row r="13" spans="1:17" ht="41.25" customHeight="1">
      <c r="A13" s="195"/>
      <c r="B13" s="178"/>
      <c r="C13" s="179"/>
      <c r="D13" s="198"/>
      <c r="E13" s="179"/>
      <c r="F13" s="198"/>
      <c r="G13" s="179"/>
      <c r="H13" s="198"/>
      <c r="I13" s="179"/>
      <c r="J13" s="198"/>
      <c r="K13" s="179"/>
      <c r="L13" s="198"/>
      <c r="M13" s="188"/>
      <c r="Q13" s="166"/>
    </row>
    <row r="14" spans="1:17" ht="15">
      <c r="A14" s="46" t="s">
        <v>41</v>
      </c>
      <c r="B14" s="42">
        <v>1</v>
      </c>
      <c r="C14" s="45">
        <v>1092000</v>
      </c>
      <c r="D14" s="52">
        <v>0.47503045066991473</v>
      </c>
      <c r="E14" s="45">
        <v>687000</v>
      </c>
      <c r="F14" s="52">
        <v>0.29885157473464419</v>
      </c>
      <c r="G14" s="45">
        <v>244500</v>
      </c>
      <c r="H14" s="171">
        <v>0.10635983991647817</v>
      </c>
      <c r="I14" s="45">
        <v>119500</v>
      </c>
      <c r="J14" s="52">
        <v>5.1983643640160081E-2</v>
      </c>
      <c r="K14" s="45">
        <v>155800</v>
      </c>
      <c r="L14" s="52">
        <v>6.7774491038802856E-2</v>
      </c>
      <c r="M14" s="49">
        <f>SUM(C14,E14,G14,I14,K14)</f>
        <v>2298800</v>
      </c>
    </row>
    <row r="15" spans="1:17" ht="15">
      <c r="A15" s="46" t="s">
        <v>41</v>
      </c>
      <c r="B15" s="42">
        <v>2</v>
      </c>
      <c r="C15" s="45">
        <v>910000</v>
      </c>
      <c r="D15" s="52">
        <v>0.35</v>
      </c>
      <c r="E15" s="45">
        <v>572500</v>
      </c>
      <c r="F15" s="52">
        <v>0.22019230769230769</v>
      </c>
      <c r="G15" s="45">
        <v>489000</v>
      </c>
      <c r="H15" s="171">
        <v>0.18807692307692309</v>
      </c>
      <c r="I15" s="45">
        <v>239000</v>
      </c>
      <c r="J15" s="52">
        <v>9.1923076923076927E-2</v>
      </c>
      <c r="K15" s="45">
        <v>389500</v>
      </c>
      <c r="L15" s="52">
        <v>0.14980769230769231</v>
      </c>
      <c r="M15" s="49">
        <f>SUM(C15,E15,G15,I15,K15)</f>
        <v>2600000</v>
      </c>
    </row>
    <row r="16" spans="1:17" ht="15">
      <c r="A16" s="46" t="s">
        <v>41</v>
      </c>
      <c r="B16" s="42">
        <v>3</v>
      </c>
      <c r="C16" s="45">
        <v>1092000</v>
      </c>
      <c r="D16" s="52">
        <v>0.37700673226307613</v>
      </c>
      <c r="E16" s="45">
        <v>687000</v>
      </c>
      <c r="F16" s="52">
        <v>0.23718280683583634</v>
      </c>
      <c r="G16" s="45">
        <v>489000</v>
      </c>
      <c r="H16" s="171">
        <v>0.16882444329363025</v>
      </c>
      <c r="I16" s="45">
        <v>239000</v>
      </c>
      <c r="J16" s="52">
        <v>8.2513378215087169E-2</v>
      </c>
      <c r="K16" s="45">
        <v>389500</v>
      </c>
      <c r="L16" s="52">
        <v>0.13447263939237011</v>
      </c>
      <c r="M16" s="49">
        <f t="shared" ref="M16:M23" si="0">SUM(C16,E16,G16,I16,K16)</f>
        <v>2896500</v>
      </c>
    </row>
    <row r="17" spans="1:18" ht="15">
      <c r="A17" s="46" t="s">
        <v>41</v>
      </c>
      <c r="B17" s="42">
        <v>4</v>
      </c>
      <c r="C17" s="45">
        <v>1274000</v>
      </c>
      <c r="D17" s="52">
        <v>0.33608568338301631</v>
      </c>
      <c r="E17" s="45">
        <v>801500</v>
      </c>
      <c r="F17" s="52">
        <v>0.21143852058986468</v>
      </c>
      <c r="G17" s="45">
        <v>733500</v>
      </c>
      <c r="H17" s="171">
        <v>0.19349988128841639</v>
      </c>
      <c r="I17" s="45">
        <v>358500</v>
      </c>
      <c r="J17" s="52">
        <v>9.457356161131189E-2</v>
      </c>
      <c r="K17" s="45">
        <v>623200</v>
      </c>
      <c r="L17" s="52">
        <v>0.16440235312739071</v>
      </c>
      <c r="M17" s="49">
        <f t="shared" si="0"/>
        <v>3790700</v>
      </c>
    </row>
    <row r="18" spans="1:18" ht="15">
      <c r="A18" s="46" t="s">
        <v>41</v>
      </c>
      <c r="B18" s="42">
        <v>5</v>
      </c>
      <c r="C18" s="45">
        <v>546000</v>
      </c>
      <c r="D18" s="52">
        <v>0.18072887358909007</v>
      </c>
      <c r="E18" s="45">
        <v>343500</v>
      </c>
      <c r="F18" s="52">
        <v>0.11370030783489457</v>
      </c>
      <c r="G18" s="45">
        <v>1222500</v>
      </c>
      <c r="H18" s="171">
        <v>0.40465393399755056</v>
      </c>
      <c r="I18" s="45">
        <v>597500</v>
      </c>
      <c r="J18" s="52">
        <v>0.19777564463274966</v>
      </c>
      <c r="K18" s="45">
        <v>311600</v>
      </c>
      <c r="L18" s="52">
        <v>0.10314123994571514</v>
      </c>
      <c r="M18" s="49">
        <f t="shared" si="0"/>
        <v>3021100</v>
      </c>
    </row>
    <row r="19" spans="1:18" ht="15">
      <c r="A19" s="46" t="s">
        <v>41</v>
      </c>
      <c r="B19" s="42">
        <v>6</v>
      </c>
      <c r="C19" s="45">
        <v>910000</v>
      </c>
      <c r="D19" s="52">
        <v>0.31530439000727628</v>
      </c>
      <c r="E19" s="45">
        <v>572500</v>
      </c>
      <c r="F19" s="52">
        <v>0.19836457503205018</v>
      </c>
      <c r="G19" s="45">
        <v>733500</v>
      </c>
      <c r="H19" s="171">
        <v>0.25414919787949136</v>
      </c>
      <c r="I19" s="45">
        <v>358500</v>
      </c>
      <c r="J19" s="52">
        <v>0.12421607012924014</v>
      </c>
      <c r="K19" s="45">
        <v>311600</v>
      </c>
      <c r="L19" s="52">
        <v>0.10796576695194207</v>
      </c>
      <c r="M19" s="49">
        <f t="shared" si="0"/>
        <v>2886100</v>
      </c>
    </row>
    <row r="20" spans="1:18" ht="15">
      <c r="A20" s="46" t="s">
        <v>41</v>
      </c>
      <c r="B20" s="42">
        <v>7</v>
      </c>
      <c r="C20" s="45">
        <v>1092000</v>
      </c>
      <c r="D20" s="52">
        <v>0.36713286713286714</v>
      </c>
      <c r="E20" s="45">
        <v>687000</v>
      </c>
      <c r="F20" s="52">
        <v>0.23097095212479829</v>
      </c>
      <c r="G20" s="45">
        <v>489000</v>
      </c>
      <c r="H20" s="171">
        <v>0.16440290478752018</v>
      </c>
      <c r="I20" s="45">
        <v>239000</v>
      </c>
      <c r="J20" s="52">
        <v>8.035233996772459E-2</v>
      </c>
      <c r="K20" s="45">
        <v>467400</v>
      </c>
      <c r="L20" s="52">
        <v>0.15714093598708984</v>
      </c>
      <c r="M20" s="49">
        <f t="shared" si="0"/>
        <v>2974400</v>
      </c>
    </row>
    <row r="21" spans="1:18" ht="15">
      <c r="A21" s="46" t="s">
        <v>41</v>
      </c>
      <c r="B21" s="42">
        <v>8</v>
      </c>
      <c r="C21" s="45">
        <v>910000</v>
      </c>
      <c r="D21" s="52">
        <v>0.26718341701165627</v>
      </c>
      <c r="E21" s="45">
        <v>572500</v>
      </c>
      <c r="F21" s="52">
        <v>0.16809066619689361</v>
      </c>
      <c r="G21" s="45">
        <v>978000</v>
      </c>
      <c r="H21" s="171">
        <v>0.28714877124988991</v>
      </c>
      <c r="I21" s="45">
        <v>478000</v>
      </c>
      <c r="J21" s="52">
        <v>0.14034469596876009</v>
      </c>
      <c r="K21" s="45">
        <v>467400</v>
      </c>
      <c r="L21" s="52">
        <v>0.13723244957280015</v>
      </c>
      <c r="M21" s="49">
        <f t="shared" si="0"/>
        <v>3405900</v>
      </c>
    </row>
    <row r="22" spans="1:18" ht="15">
      <c r="A22" s="46" t="s">
        <v>41</v>
      </c>
      <c r="B22" s="42">
        <v>9</v>
      </c>
      <c r="C22" s="45">
        <v>910000</v>
      </c>
      <c r="D22" s="52">
        <v>0.24478816408876933</v>
      </c>
      <c r="E22" s="45">
        <v>572500</v>
      </c>
      <c r="F22" s="52">
        <v>0.15400134498991258</v>
      </c>
      <c r="G22" s="45">
        <v>978000</v>
      </c>
      <c r="H22" s="171">
        <v>0.26308002689979826</v>
      </c>
      <c r="I22" s="45">
        <v>478000</v>
      </c>
      <c r="J22" s="52">
        <v>0.12858103564223269</v>
      </c>
      <c r="K22" s="45">
        <v>779000</v>
      </c>
      <c r="L22" s="52">
        <v>0.20954942837928717</v>
      </c>
      <c r="M22" s="49">
        <f t="shared" si="0"/>
        <v>3717500</v>
      </c>
    </row>
    <row r="23" spans="1:18" ht="15">
      <c r="A23" s="46" t="s">
        <v>41</v>
      </c>
      <c r="B23" s="42">
        <v>10</v>
      </c>
      <c r="C23" s="45">
        <v>910000</v>
      </c>
      <c r="D23" s="52">
        <v>0.30701754385964913</v>
      </c>
      <c r="E23" s="45">
        <v>572500</v>
      </c>
      <c r="F23" s="52">
        <v>0.19315114709851552</v>
      </c>
      <c r="G23" s="45">
        <v>733500</v>
      </c>
      <c r="H23" s="171">
        <v>0.24746963562753035</v>
      </c>
      <c r="I23" s="45">
        <v>358500</v>
      </c>
      <c r="J23" s="52">
        <v>0.12095141700404859</v>
      </c>
      <c r="K23" s="45">
        <v>389500</v>
      </c>
      <c r="L23" s="52">
        <v>0.13141025641025642</v>
      </c>
      <c r="M23" s="49">
        <f t="shared" si="0"/>
        <v>2964000</v>
      </c>
    </row>
    <row r="24" spans="1:18" ht="15.75" thickBot="1">
      <c r="A24" s="186" t="s">
        <v>31</v>
      </c>
      <c r="B24" s="187"/>
      <c r="C24" s="47">
        <f>SUM(C14:C23)</f>
        <v>9646000</v>
      </c>
      <c r="D24" s="47"/>
      <c r="E24" s="47">
        <f t="shared" ref="E24:M24" si="1">SUM(E14:E23)</f>
        <v>6068500</v>
      </c>
      <c r="F24" s="47"/>
      <c r="G24" s="47">
        <f t="shared" si="1"/>
        <v>7090500</v>
      </c>
      <c r="H24" s="47"/>
      <c r="I24" s="47">
        <f t="shared" si="1"/>
        <v>3465500</v>
      </c>
      <c r="J24" s="52"/>
      <c r="K24" s="47">
        <f t="shared" si="1"/>
        <v>4284500</v>
      </c>
      <c r="L24" s="55"/>
      <c r="M24" s="48">
        <f t="shared" si="1"/>
        <v>30555000</v>
      </c>
    </row>
    <row r="28" spans="1:18" ht="18.75">
      <c r="A28" s="177" t="s">
        <v>68</v>
      </c>
      <c r="B28" s="177"/>
      <c r="C28" s="177"/>
      <c r="D28" s="177"/>
      <c r="E28" s="177"/>
      <c r="F28" s="177"/>
      <c r="G28" s="177"/>
    </row>
    <row r="29" spans="1:18">
      <c r="C29" s="40"/>
      <c r="D29" s="40"/>
      <c r="E29" s="40"/>
      <c r="F29" s="40"/>
      <c r="G29" s="40"/>
    </row>
    <row r="30" spans="1:18">
      <c r="A30" s="178"/>
      <c r="B30" s="178" t="s">
        <v>42</v>
      </c>
      <c r="C30" s="179" t="s">
        <v>36</v>
      </c>
      <c r="D30" s="179" t="s">
        <v>38</v>
      </c>
      <c r="E30" s="179" t="s">
        <v>37</v>
      </c>
      <c r="F30" s="179" t="s">
        <v>39</v>
      </c>
      <c r="G30" s="179" t="s">
        <v>40</v>
      </c>
    </row>
    <row r="31" spans="1:18">
      <c r="A31" s="178"/>
      <c r="B31" s="178"/>
      <c r="C31" s="179"/>
      <c r="D31" s="179"/>
      <c r="E31" s="179"/>
      <c r="F31" s="179"/>
      <c r="G31" s="179"/>
    </row>
    <row r="32" spans="1:18">
      <c r="A32" s="178"/>
      <c r="B32" s="178"/>
      <c r="C32" s="179"/>
      <c r="D32" s="179"/>
      <c r="E32" s="179"/>
      <c r="F32" s="179"/>
      <c r="G32" s="179"/>
      <c r="R32" s="12"/>
    </row>
    <row r="33" spans="1:18">
      <c r="A33" s="178"/>
      <c r="B33" s="178"/>
      <c r="C33" s="179"/>
      <c r="D33" s="179"/>
      <c r="E33" s="179"/>
      <c r="F33" s="179"/>
      <c r="G33" s="179"/>
    </row>
    <row r="34" spans="1:18" ht="15">
      <c r="A34" s="42"/>
      <c r="B34" s="42" t="s">
        <v>72</v>
      </c>
      <c r="C34" s="61" t="s">
        <v>85</v>
      </c>
      <c r="D34" s="61" t="s">
        <v>85</v>
      </c>
      <c r="E34" s="61" t="s">
        <v>85</v>
      </c>
      <c r="F34" s="61" t="s">
        <v>85</v>
      </c>
      <c r="G34" s="61" t="s">
        <v>85</v>
      </c>
    </row>
    <row r="35" spans="1:18" ht="15">
      <c r="A35" s="41" t="s">
        <v>41</v>
      </c>
      <c r="B35" s="42">
        <v>1</v>
      </c>
      <c r="C35" s="42">
        <v>3000</v>
      </c>
      <c r="D35" s="42">
        <v>3000</v>
      </c>
      <c r="E35" s="42">
        <v>500</v>
      </c>
      <c r="F35" s="42">
        <v>500</v>
      </c>
      <c r="G35" s="42">
        <v>200</v>
      </c>
      <c r="P35" s="12"/>
      <c r="R35" s="12"/>
    </row>
    <row r="36" spans="1:18" ht="15">
      <c r="A36" s="41" t="s">
        <v>41</v>
      </c>
      <c r="B36" s="42">
        <v>2</v>
      </c>
      <c r="C36" s="42">
        <v>2500</v>
      </c>
      <c r="D36" s="42">
        <v>2500</v>
      </c>
      <c r="E36" s="42">
        <v>1000</v>
      </c>
      <c r="F36" s="42">
        <v>1000</v>
      </c>
      <c r="G36" s="42">
        <v>500</v>
      </c>
      <c r="R36" s="12"/>
    </row>
    <row r="37" spans="1:18" ht="15">
      <c r="A37" s="41" t="s">
        <v>41</v>
      </c>
      <c r="B37" s="42">
        <v>3</v>
      </c>
      <c r="C37" s="42">
        <v>3000</v>
      </c>
      <c r="D37" s="42">
        <v>3000</v>
      </c>
      <c r="E37" s="42">
        <v>1000</v>
      </c>
      <c r="F37" s="42">
        <v>1000</v>
      </c>
      <c r="G37" s="42">
        <v>500</v>
      </c>
      <c r="R37" s="12"/>
    </row>
    <row r="38" spans="1:18" ht="15">
      <c r="A38" s="41" t="s">
        <v>41</v>
      </c>
      <c r="B38" s="42">
        <v>4</v>
      </c>
      <c r="C38" s="42">
        <v>3500</v>
      </c>
      <c r="D38" s="42">
        <v>3500</v>
      </c>
      <c r="E38" s="42">
        <v>1500</v>
      </c>
      <c r="F38" s="42">
        <v>1500</v>
      </c>
      <c r="G38" s="42">
        <v>800</v>
      </c>
      <c r="R38" s="12"/>
    </row>
    <row r="39" spans="1:18" ht="15">
      <c r="A39" s="41" t="s">
        <v>41</v>
      </c>
      <c r="B39" s="42">
        <v>5</v>
      </c>
      <c r="C39" s="42">
        <v>1500</v>
      </c>
      <c r="D39" s="42">
        <v>1500</v>
      </c>
      <c r="E39" s="42">
        <v>2500</v>
      </c>
      <c r="F39" s="42">
        <v>2500</v>
      </c>
      <c r="G39" s="42">
        <v>400</v>
      </c>
    </row>
    <row r="40" spans="1:18" ht="15">
      <c r="A40" s="41" t="s">
        <v>41</v>
      </c>
      <c r="B40" s="42">
        <v>6</v>
      </c>
      <c r="C40" s="42">
        <v>2500</v>
      </c>
      <c r="D40" s="42">
        <v>2500</v>
      </c>
      <c r="E40" s="42">
        <v>1500</v>
      </c>
      <c r="F40" s="42">
        <v>1500</v>
      </c>
      <c r="G40" s="42">
        <v>400</v>
      </c>
    </row>
    <row r="41" spans="1:18" ht="15">
      <c r="A41" s="41" t="s">
        <v>41</v>
      </c>
      <c r="B41" s="42">
        <v>7</v>
      </c>
      <c r="C41" s="42">
        <v>3000</v>
      </c>
      <c r="D41" s="42">
        <v>3000</v>
      </c>
      <c r="E41" s="42">
        <v>1000</v>
      </c>
      <c r="F41" s="42">
        <v>1000</v>
      </c>
      <c r="G41" s="42">
        <v>600</v>
      </c>
    </row>
    <row r="42" spans="1:18" ht="15">
      <c r="A42" s="41" t="s">
        <v>41</v>
      </c>
      <c r="B42" s="42">
        <v>8</v>
      </c>
      <c r="C42" s="42">
        <v>2500</v>
      </c>
      <c r="D42" s="42">
        <v>2500</v>
      </c>
      <c r="E42" s="42">
        <v>2000</v>
      </c>
      <c r="F42" s="42">
        <v>2000</v>
      </c>
      <c r="G42" s="42">
        <v>600</v>
      </c>
    </row>
    <row r="43" spans="1:18" ht="15">
      <c r="A43" s="41" t="s">
        <v>41</v>
      </c>
      <c r="B43" s="42">
        <v>9</v>
      </c>
      <c r="C43" s="42">
        <v>2500</v>
      </c>
      <c r="D43" s="42">
        <v>2500</v>
      </c>
      <c r="E43" s="42">
        <v>2000</v>
      </c>
      <c r="F43" s="42">
        <v>2000</v>
      </c>
      <c r="G43" s="42">
        <v>1000</v>
      </c>
    </row>
    <row r="44" spans="1:18" ht="15">
      <c r="A44" s="41" t="s">
        <v>41</v>
      </c>
      <c r="B44" s="42">
        <v>10</v>
      </c>
      <c r="C44" s="42">
        <v>2500</v>
      </c>
      <c r="D44" s="42">
        <v>2500</v>
      </c>
      <c r="E44" s="42">
        <v>1500</v>
      </c>
      <c r="F44" s="42">
        <v>1500</v>
      </c>
      <c r="G44" s="42">
        <v>500</v>
      </c>
    </row>
    <row r="45" spans="1:18">
      <c r="A45" s="176" t="s">
        <v>31</v>
      </c>
      <c r="B45" s="176"/>
      <c r="C45" s="142">
        <f>SUM(C35:C44)</f>
        <v>26500</v>
      </c>
      <c r="D45" s="142">
        <f t="shared" ref="D45:G45" si="2">SUM(D35:D44)</f>
        <v>26500</v>
      </c>
      <c r="E45" s="142">
        <f t="shared" si="2"/>
        <v>14500</v>
      </c>
      <c r="F45" s="142">
        <f t="shared" si="2"/>
        <v>14500</v>
      </c>
      <c r="G45" s="142">
        <f t="shared" si="2"/>
        <v>5500</v>
      </c>
    </row>
  </sheetData>
  <mergeCells count="30">
    <mergeCell ref="K10:K13"/>
    <mergeCell ref="A24:B24"/>
    <mergeCell ref="M10:M13"/>
    <mergeCell ref="C9:M9"/>
    <mergeCell ref="B9:B13"/>
    <mergeCell ref="A9:A13"/>
    <mergeCell ref="C10:C13"/>
    <mergeCell ref="E10:E13"/>
    <mergeCell ref="G10:G13"/>
    <mergeCell ref="L10:L13"/>
    <mergeCell ref="D10:D13"/>
    <mergeCell ref="F10:F13"/>
    <mergeCell ref="H10:H13"/>
    <mergeCell ref="J10:J13"/>
    <mergeCell ref="B6:H6"/>
    <mergeCell ref="I10:I13"/>
    <mergeCell ref="B1:H1"/>
    <mergeCell ref="B2:H2"/>
    <mergeCell ref="B3:H3"/>
    <mergeCell ref="B4:H4"/>
    <mergeCell ref="B5:H5"/>
    <mergeCell ref="A45:B45"/>
    <mergeCell ref="A28:G28"/>
    <mergeCell ref="A30:A33"/>
    <mergeCell ref="B30:B33"/>
    <mergeCell ref="C30:C33"/>
    <mergeCell ref="D30:D33"/>
    <mergeCell ref="E30:E33"/>
    <mergeCell ref="F30:F33"/>
    <mergeCell ref="G30:G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2"/>
  <dimension ref="A2:Y31"/>
  <sheetViews>
    <sheetView zoomScale="50" zoomScaleNormal="50" workbookViewId="0">
      <selection activeCell="G3" sqref="G3:K7"/>
    </sheetView>
  </sheetViews>
  <sheetFormatPr defaultRowHeight="14.25"/>
  <cols>
    <col min="1" max="1" width="38.5" customWidth="1"/>
    <col min="5" max="5" width="10" customWidth="1"/>
    <col min="10" max="10" width="10" customWidth="1"/>
    <col min="15" max="15" width="10" customWidth="1"/>
    <col min="20" max="20" width="10" customWidth="1"/>
  </cols>
  <sheetData>
    <row r="2" spans="1:25" ht="15" thickBot="1">
      <c r="A2" s="210" t="s">
        <v>66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</row>
    <row r="3" spans="1:25" ht="15.75" thickBot="1">
      <c r="A3" s="211" t="s">
        <v>67</v>
      </c>
      <c r="B3" s="214" t="s">
        <v>1</v>
      </c>
      <c r="C3" s="215"/>
      <c r="D3" s="215"/>
      <c r="E3" s="215"/>
      <c r="F3" s="216"/>
      <c r="G3" s="214" t="s">
        <v>2</v>
      </c>
      <c r="H3" s="215"/>
      <c r="I3" s="215"/>
      <c r="J3" s="215"/>
      <c r="K3" s="216"/>
      <c r="L3" s="214" t="s">
        <v>1</v>
      </c>
      <c r="M3" s="215"/>
      <c r="N3" s="215"/>
      <c r="O3" s="215"/>
      <c r="P3" s="216"/>
      <c r="Q3" s="214" t="s">
        <v>2</v>
      </c>
      <c r="R3" s="215"/>
      <c r="S3" s="215"/>
      <c r="T3" s="215"/>
      <c r="U3" s="216"/>
    </row>
    <row r="4" spans="1:25" ht="15">
      <c r="A4" s="212"/>
      <c r="B4" s="62" t="s">
        <v>22</v>
      </c>
      <c r="C4" s="60" t="s">
        <v>23</v>
      </c>
      <c r="D4" s="63" t="s">
        <v>24</v>
      </c>
      <c r="E4" s="217" t="s">
        <v>25</v>
      </c>
      <c r="F4" s="219" t="s">
        <v>30</v>
      </c>
      <c r="G4" s="64" t="s">
        <v>22</v>
      </c>
      <c r="H4" s="60" t="s">
        <v>23</v>
      </c>
      <c r="I4" s="63" t="s">
        <v>24</v>
      </c>
      <c r="J4" s="217" t="s">
        <v>25</v>
      </c>
      <c r="K4" s="219" t="s">
        <v>30</v>
      </c>
      <c r="L4" s="64" t="s">
        <v>22</v>
      </c>
      <c r="M4" s="60" t="s">
        <v>23</v>
      </c>
      <c r="N4" s="63" t="s">
        <v>24</v>
      </c>
      <c r="O4" s="199" t="s">
        <v>25</v>
      </c>
      <c r="P4" s="201" t="s">
        <v>30</v>
      </c>
      <c r="Q4" s="64" t="s">
        <v>22</v>
      </c>
      <c r="R4" s="60" t="s">
        <v>23</v>
      </c>
      <c r="S4" s="63" t="s">
        <v>24</v>
      </c>
      <c r="T4" s="199" t="s">
        <v>25</v>
      </c>
      <c r="U4" s="201" t="s">
        <v>30</v>
      </c>
    </row>
    <row r="5" spans="1:25" ht="15.75" thickBot="1">
      <c r="A5" s="213"/>
      <c r="B5" s="203" t="s">
        <v>3</v>
      </c>
      <c r="C5" s="204"/>
      <c r="D5" s="205"/>
      <c r="E5" s="218"/>
      <c r="F5" s="220"/>
      <c r="G5" s="206" t="s">
        <v>3</v>
      </c>
      <c r="H5" s="204"/>
      <c r="I5" s="205"/>
      <c r="J5" s="218"/>
      <c r="K5" s="220"/>
      <c r="L5" s="207" t="s">
        <v>4</v>
      </c>
      <c r="M5" s="208"/>
      <c r="N5" s="209"/>
      <c r="O5" s="200"/>
      <c r="P5" s="202"/>
      <c r="Q5" s="207" t="s">
        <v>4</v>
      </c>
      <c r="R5" s="208"/>
      <c r="S5" s="209"/>
      <c r="T5" s="200"/>
      <c r="U5" s="202"/>
    </row>
    <row r="6" spans="1:25" ht="42.75">
      <c r="A6" s="65" t="s">
        <v>26</v>
      </c>
      <c r="B6" s="66"/>
      <c r="C6" s="67"/>
      <c r="D6" s="68"/>
      <c r="E6" s="69"/>
      <c r="F6" s="70"/>
      <c r="G6" s="71"/>
      <c r="H6" s="67"/>
      <c r="I6" s="68"/>
      <c r="J6" s="69"/>
      <c r="K6" s="69"/>
      <c r="L6" s="72"/>
      <c r="M6" s="73"/>
      <c r="N6" s="74"/>
      <c r="O6" s="75"/>
      <c r="P6" s="75"/>
      <c r="Q6" s="72"/>
      <c r="R6" s="73"/>
      <c r="S6" s="74"/>
      <c r="T6" s="75"/>
      <c r="U6" s="75"/>
    </row>
    <row r="7" spans="1:25" ht="15">
      <c r="A7" s="2" t="s">
        <v>5</v>
      </c>
      <c r="B7" s="76">
        <v>340</v>
      </c>
      <c r="C7" s="77">
        <v>339.32</v>
      </c>
      <c r="D7" s="78">
        <v>339</v>
      </c>
      <c r="E7" s="79">
        <f>ROUND((B7+C7+D7)/3,2)</f>
        <v>339.44</v>
      </c>
      <c r="F7" s="80">
        <v>0.93131868131868134</v>
      </c>
      <c r="G7" s="81">
        <v>300</v>
      </c>
      <c r="H7" s="77">
        <v>299.39999999999998</v>
      </c>
      <c r="I7" s="78">
        <v>299</v>
      </c>
      <c r="J7" s="79">
        <f>ROUND((G7+H7+I7)/3,2)</f>
        <v>299.47000000000003</v>
      </c>
      <c r="K7" s="80">
        <v>0.8214285714285714</v>
      </c>
      <c r="L7" s="82">
        <v>365</v>
      </c>
      <c r="M7" s="83">
        <v>364.27</v>
      </c>
      <c r="N7" s="84">
        <v>364</v>
      </c>
      <c r="O7" s="85">
        <f>ROUND((L7+M7+N7)/3,2)</f>
        <v>364.42</v>
      </c>
      <c r="P7" s="86">
        <v>1</v>
      </c>
      <c r="Q7" s="82">
        <v>320</v>
      </c>
      <c r="R7" s="83">
        <v>319.36</v>
      </c>
      <c r="S7" s="84">
        <v>319</v>
      </c>
      <c r="T7" s="85">
        <f>ROUND((Q7+R7+S7)/3,2)</f>
        <v>319.45</v>
      </c>
      <c r="U7" s="86">
        <v>0.87637362637362637</v>
      </c>
      <c r="Y7" s="87"/>
    </row>
    <row r="8" spans="1:25" ht="15">
      <c r="A8" s="2" t="s">
        <v>6</v>
      </c>
      <c r="B8" s="76">
        <v>325</v>
      </c>
      <c r="C8" s="77">
        <v>324.35000000000002</v>
      </c>
      <c r="D8" s="78">
        <v>324</v>
      </c>
      <c r="E8" s="79">
        <f>ROUND((B8+C8+D8)/3,2)</f>
        <v>324.45</v>
      </c>
      <c r="F8" s="80">
        <v>0.89010989010989006</v>
      </c>
      <c r="G8" s="81">
        <v>290</v>
      </c>
      <c r="H8" s="77">
        <v>289.42</v>
      </c>
      <c r="I8" s="78">
        <v>289</v>
      </c>
      <c r="J8" s="79">
        <f>ROUND((G8+H8+I8)/3,2)</f>
        <v>289.47000000000003</v>
      </c>
      <c r="K8" s="80">
        <v>0.79395604395604391</v>
      </c>
      <c r="L8" s="82">
        <v>350</v>
      </c>
      <c r="M8" s="83">
        <v>349.3</v>
      </c>
      <c r="N8" s="84">
        <v>349</v>
      </c>
      <c r="O8" s="85">
        <f>ROUND((L8+M8+N8)/3,2)</f>
        <v>349.43</v>
      </c>
      <c r="P8" s="86">
        <v>0.95879120879120883</v>
      </c>
      <c r="Q8" s="82">
        <v>310</v>
      </c>
      <c r="R8" s="83">
        <v>309.38</v>
      </c>
      <c r="S8" s="84">
        <v>309</v>
      </c>
      <c r="T8" s="85">
        <f>ROUND((Q8+R8+S8)/3,2)</f>
        <v>309.45999999999998</v>
      </c>
      <c r="U8" s="86">
        <v>0.84890109890109888</v>
      </c>
    </row>
    <row r="9" spans="1:25" ht="15">
      <c r="A9" s="2" t="s">
        <v>7</v>
      </c>
      <c r="B9" s="76">
        <v>310</v>
      </c>
      <c r="C9" s="77">
        <v>309.38</v>
      </c>
      <c r="D9" s="78">
        <v>309</v>
      </c>
      <c r="E9" s="79">
        <f>ROUND((B9+C9+D9)/3,2)</f>
        <v>309.45999999999998</v>
      </c>
      <c r="F9" s="80">
        <v>0.84890109890109888</v>
      </c>
      <c r="G9" s="81">
        <v>280</v>
      </c>
      <c r="H9" s="77">
        <v>279.44</v>
      </c>
      <c r="I9" s="78">
        <v>279</v>
      </c>
      <c r="J9" s="79">
        <f>ROUND((G9+H9+I9)/3,2)</f>
        <v>279.48</v>
      </c>
      <c r="K9" s="80">
        <v>0.76648351648351654</v>
      </c>
      <c r="L9" s="82">
        <v>335</v>
      </c>
      <c r="M9" s="83">
        <v>334.33</v>
      </c>
      <c r="N9" s="84">
        <v>334</v>
      </c>
      <c r="O9" s="85">
        <f>ROUND((L9+M9+N9)/3,2)</f>
        <v>334.44</v>
      </c>
      <c r="P9" s="86">
        <v>0.91758241758241754</v>
      </c>
      <c r="Q9" s="82">
        <v>300</v>
      </c>
      <c r="R9" s="83">
        <v>299.39999999999998</v>
      </c>
      <c r="S9" s="84">
        <v>299</v>
      </c>
      <c r="T9" s="85">
        <f>ROUND((Q9+R9+S9)/3,2)</f>
        <v>299.47000000000003</v>
      </c>
      <c r="U9" s="86">
        <v>0.8214285714285714</v>
      </c>
    </row>
    <row r="10" spans="1:25" ht="15.75" thickBot="1">
      <c r="A10" s="3" t="s">
        <v>8</v>
      </c>
      <c r="B10" s="88">
        <v>295</v>
      </c>
      <c r="C10" s="89">
        <v>294.41000000000003</v>
      </c>
      <c r="D10" s="90">
        <v>294</v>
      </c>
      <c r="E10" s="91">
        <f>ROUND((B10+C10+D10)/3,2)</f>
        <v>294.47000000000003</v>
      </c>
      <c r="F10" s="80">
        <v>0.80769230769230771</v>
      </c>
      <c r="G10" s="92">
        <v>270</v>
      </c>
      <c r="H10" s="89">
        <v>269.45999999999998</v>
      </c>
      <c r="I10" s="90">
        <v>269</v>
      </c>
      <c r="J10" s="91">
        <f>ROUND((G10+H10+I10)/3,2)</f>
        <v>269.49</v>
      </c>
      <c r="K10" s="80">
        <v>0.73901098901098905</v>
      </c>
      <c r="L10" s="93">
        <v>320</v>
      </c>
      <c r="M10" s="94">
        <v>319.36</v>
      </c>
      <c r="N10" s="95">
        <v>319</v>
      </c>
      <c r="O10" s="96">
        <f>ROUND((L10+M10+N10)/3,2)</f>
        <v>319.45</v>
      </c>
      <c r="P10" s="86">
        <v>0.87637362637362637</v>
      </c>
      <c r="Q10" s="93">
        <v>290</v>
      </c>
      <c r="R10" s="94">
        <v>289.42</v>
      </c>
      <c r="S10" s="95">
        <v>289</v>
      </c>
      <c r="T10" s="96">
        <f>ROUND((Q10+R10+S10)/3,2)</f>
        <v>289.47000000000003</v>
      </c>
      <c r="U10" s="86">
        <v>0.79395604395604391</v>
      </c>
    </row>
    <row r="11" spans="1:25" ht="43.5" thickBot="1">
      <c r="A11" s="4" t="s">
        <v>27</v>
      </c>
      <c r="B11" s="97">
        <v>205</v>
      </c>
      <c r="C11" s="98">
        <v>204.59</v>
      </c>
      <c r="D11" s="99">
        <v>204</v>
      </c>
      <c r="E11" s="100">
        <f>ROUND((B11+C11+D11)/3,2)</f>
        <v>204.53</v>
      </c>
      <c r="F11" s="80">
        <v>0.89082969432314407</v>
      </c>
      <c r="G11" s="101">
        <v>205</v>
      </c>
      <c r="H11" s="98">
        <v>204.59</v>
      </c>
      <c r="I11" s="99">
        <v>204</v>
      </c>
      <c r="J11" s="100">
        <f>ROUND((G11+H11+I11)/3,2)</f>
        <v>204.53</v>
      </c>
      <c r="K11" s="80">
        <v>0.89082969432314407</v>
      </c>
      <c r="L11" s="102">
        <v>230</v>
      </c>
      <c r="M11" s="103">
        <v>229.54</v>
      </c>
      <c r="N11" s="104">
        <v>229</v>
      </c>
      <c r="O11" s="105">
        <f>ROUND((L11+M11+N11)/3,2)</f>
        <v>229.51</v>
      </c>
      <c r="P11" s="86">
        <v>1</v>
      </c>
      <c r="Q11" s="102">
        <v>230</v>
      </c>
      <c r="R11" s="103">
        <v>229.54</v>
      </c>
      <c r="S11" s="104">
        <v>229</v>
      </c>
      <c r="T11" s="105">
        <f>ROUND((Q11+R11+S11)/3,2)</f>
        <v>229.51</v>
      </c>
      <c r="U11" s="86">
        <v>1</v>
      </c>
    </row>
    <row r="12" spans="1:25" ht="42.75">
      <c r="A12" s="5" t="s">
        <v>9</v>
      </c>
      <c r="B12" s="106"/>
      <c r="C12" s="107"/>
      <c r="D12" s="108"/>
      <c r="E12" s="109"/>
      <c r="F12" s="110"/>
      <c r="G12" s="111"/>
      <c r="H12" s="107"/>
      <c r="I12" s="108"/>
      <c r="J12" s="109"/>
      <c r="K12" s="109"/>
      <c r="L12" s="112"/>
      <c r="M12" s="113"/>
      <c r="N12" s="114"/>
      <c r="O12" s="115"/>
      <c r="P12" s="115"/>
      <c r="Q12" s="112"/>
      <c r="R12" s="113"/>
      <c r="S12" s="114"/>
      <c r="T12" s="115"/>
      <c r="U12" s="115"/>
    </row>
    <row r="13" spans="1:25" ht="15">
      <c r="A13" s="2" t="s">
        <v>10</v>
      </c>
      <c r="B13" s="76">
        <v>460</v>
      </c>
      <c r="C13" s="77">
        <v>459.08</v>
      </c>
      <c r="D13" s="78">
        <v>459</v>
      </c>
      <c r="E13" s="79">
        <f>ROUND((B13+C13+D13)/3,2)</f>
        <v>459.36</v>
      </c>
      <c r="F13" s="80">
        <v>0.93865030674846628</v>
      </c>
      <c r="G13" s="81">
        <v>420</v>
      </c>
      <c r="H13" s="77">
        <v>419.16</v>
      </c>
      <c r="I13" s="78">
        <v>419</v>
      </c>
      <c r="J13" s="79">
        <f>ROUND((G13+H13+I13)/3,2)</f>
        <v>419.39</v>
      </c>
      <c r="K13" s="80">
        <v>0.85685071574642124</v>
      </c>
      <c r="L13" s="82">
        <v>490</v>
      </c>
      <c r="M13" s="83">
        <v>489.02</v>
      </c>
      <c r="N13" s="84">
        <v>489</v>
      </c>
      <c r="O13" s="85">
        <f>ROUND((L13+M13+N13)/3,2)</f>
        <v>489.34</v>
      </c>
      <c r="P13" s="86">
        <v>1</v>
      </c>
      <c r="Q13" s="82">
        <v>450</v>
      </c>
      <c r="R13" s="83">
        <v>449.1</v>
      </c>
      <c r="S13" s="84">
        <v>449</v>
      </c>
      <c r="T13" s="85">
        <f>ROUND((Q13+R13+S13)/3,2)</f>
        <v>449.37</v>
      </c>
      <c r="U13" s="86">
        <v>0.91820040899795496</v>
      </c>
    </row>
    <row r="14" spans="1:25" ht="15">
      <c r="A14" s="2" t="s">
        <v>11</v>
      </c>
      <c r="B14" s="76">
        <v>390</v>
      </c>
      <c r="C14" s="77">
        <v>389.22</v>
      </c>
      <c r="D14" s="78">
        <v>389</v>
      </c>
      <c r="E14" s="79">
        <f>ROUND((B14+C14+D14)/3,2)</f>
        <v>389.41</v>
      </c>
      <c r="F14" s="80">
        <v>0.79550102249488752</v>
      </c>
      <c r="G14" s="81">
        <v>350</v>
      </c>
      <c r="H14" s="77">
        <v>349.3</v>
      </c>
      <c r="I14" s="78">
        <v>349</v>
      </c>
      <c r="J14" s="79">
        <f>ROUND((G14+H14+I14)/3,2)</f>
        <v>349.43</v>
      </c>
      <c r="K14" s="80">
        <v>0.71370143149284249</v>
      </c>
      <c r="L14" s="82">
        <v>420</v>
      </c>
      <c r="M14" s="83">
        <v>419.16</v>
      </c>
      <c r="N14" s="84">
        <v>419</v>
      </c>
      <c r="O14" s="85">
        <f>ROUND((L14+M14+N14)/3,2)</f>
        <v>419.39</v>
      </c>
      <c r="P14" s="86">
        <v>0.85685071574642124</v>
      </c>
      <c r="Q14" s="82">
        <v>380</v>
      </c>
      <c r="R14" s="83">
        <v>379.24</v>
      </c>
      <c r="S14" s="84">
        <v>379</v>
      </c>
      <c r="T14" s="85">
        <f>ROUND((Q14+R14+S14)/3,2)</f>
        <v>379.41</v>
      </c>
      <c r="U14" s="86">
        <v>0.77505112474437632</v>
      </c>
    </row>
    <row r="15" spans="1:25" ht="15">
      <c r="A15" s="2" t="s">
        <v>6</v>
      </c>
      <c r="B15" s="76">
        <v>350</v>
      </c>
      <c r="C15" s="77">
        <v>349.3</v>
      </c>
      <c r="D15" s="78">
        <v>349</v>
      </c>
      <c r="E15" s="79">
        <f>ROUND((B15+C15+D15)/3,2)</f>
        <v>349.43</v>
      </c>
      <c r="F15" s="80">
        <v>0.71370143149284249</v>
      </c>
      <c r="G15" s="81">
        <v>310</v>
      </c>
      <c r="H15" s="77">
        <v>309.38</v>
      </c>
      <c r="I15" s="78">
        <v>309</v>
      </c>
      <c r="J15" s="79">
        <f>ROUND((G15+H15+I15)/3,2)</f>
        <v>309.45999999999998</v>
      </c>
      <c r="K15" s="80">
        <v>0.63190184049079756</v>
      </c>
      <c r="L15" s="82">
        <v>380</v>
      </c>
      <c r="M15" s="83">
        <v>379.24</v>
      </c>
      <c r="N15" s="84">
        <v>379</v>
      </c>
      <c r="O15" s="85">
        <f>ROUND((L15+M15+N15)/3,2)</f>
        <v>379.41</v>
      </c>
      <c r="P15" s="86">
        <v>0.77505112474437632</v>
      </c>
      <c r="Q15" s="82">
        <v>340</v>
      </c>
      <c r="R15" s="83">
        <v>339.32</v>
      </c>
      <c r="S15" s="84">
        <v>339</v>
      </c>
      <c r="T15" s="85">
        <f>ROUND((Q15+R15+S15)/3,2)</f>
        <v>339.44</v>
      </c>
      <c r="U15" s="86">
        <v>0.69325153374233128</v>
      </c>
    </row>
    <row r="16" spans="1:25" ht="15.75" thickBot="1">
      <c r="A16" s="3" t="s">
        <v>12</v>
      </c>
      <c r="B16" s="88">
        <v>330</v>
      </c>
      <c r="C16" s="89">
        <v>329.34</v>
      </c>
      <c r="D16" s="90">
        <v>329</v>
      </c>
      <c r="E16" s="91">
        <f>ROUND((B16+C16+D16)/3,2)</f>
        <v>329.45</v>
      </c>
      <c r="F16" s="80">
        <v>0.67280163599182008</v>
      </c>
      <c r="G16" s="92">
        <v>290</v>
      </c>
      <c r="H16" s="89">
        <v>289.42</v>
      </c>
      <c r="I16" s="90">
        <v>289</v>
      </c>
      <c r="J16" s="91">
        <f>ROUND((G16+H16+I16)/3,2)</f>
        <v>289.47000000000003</v>
      </c>
      <c r="K16" s="80">
        <v>0.59100204498977504</v>
      </c>
      <c r="L16" s="93">
        <v>355</v>
      </c>
      <c r="M16" s="94">
        <v>354.29</v>
      </c>
      <c r="N16" s="95">
        <v>354</v>
      </c>
      <c r="O16" s="96">
        <f>ROUND((L16+M16+N16)/3,2)</f>
        <v>354.43</v>
      </c>
      <c r="P16" s="86">
        <v>0.7239263803680982</v>
      </c>
      <c r="Q16" s="93">
        <v>315</v>
      </c>
      <c r="R16" s="94">
        <v>314.37</v>
      </c>
      <c r="S16" s="95">
        <v>314</v>
      </c>
      <c r="T16" s="96">
        <f>ROUND((Q16+R16+S16)/3,2)</f>
        <v>314.45999999999998</v>
      </c>
      <c r="U16" s="86">
        <v>0.64212678936605316</v>
      </c>
    </row>
    <row r="17" spans="1:21" ht="43.5" thickBot="1">
      <c r="A17" s="6" t="s">
        <v>28</v>
      </c>
      <c r="B17" s="97">
        <v>215</v>
      </c>
      <c r="C17" s="98">
        <v>214.57</v>
      </c>
      <c r="D17" s="99">
        <v>214</v>
      </c>
      <c r="E17" s="100">
        <f>ROUND((B17+C17+D17)/3,2)</f>
        <v>214.52</v>
      </c>
      <c r="F17" s="80">
        <v>0.89539748953974896</v>
      </c>
      <c r="G17" s="101">
        <v>215</v>
      </c>
      <c r="H17" s="98">
        <v>214.57</v>
      </c>
      <c r="I17" s="99">
        <v>214</v>
      </c>
      <c r="J17" s="100">
        <f>ROUND((G17+H17+I17)/3,2)</f>
        <v>214.52</v>
      </c>
      <c r="K17" s="80">
        <v>0.89539748953974896</v>
      </c>
      <c r="L17" s="102">
        <v>240</v>
      </c>
      <c r="M17" s="103">
        <v>239.52</v>
      </c>
      <c r="N17" s="104">
        <v>239</v>
      </c>
      <c r="O17" s="105">
        <f>ROUND((L17+M17+N17)/3,2)</f>
        <v>239.51</v>
      </c>
      <c r="P17" s="86">
        <v>1</v>
      </c>
      <c r="Q17" s="102">
        <v>240</v>
      </c>
      <c r="R17" s="103">
        <v>239.52</v>
      </c>
      <c r="S17" s="104">
        <v>239</v>
      </c>
      <c r="T17" s="105">
        <f>ROUND((Q17+R17+S17)/3,2)</f>
        <v>239.51</v>
      </c>
      <c r="U17" s="86">
        <v>1</v>
      </c>
    </row>
    <row r="18" spans="1:21" ht="15.75" thickBot="1">
      <c r="A18" s="7"/>
      <c r="B18" s="116"/>
      <c r="C18" s="116"/>
      <c r="D18" s="116"/>
      <c r="E18" s="117"/>
      <c r="F18" s="117"/>
      <c r="G18" s="116"/>
      <c r="H18" s="116"/>
      <c r="I18" s="116"/>
      <c r="J18" s="117"/>
      <c r="K18" s="117"/>
      <c r="L18" s="116"/>
      <c r="M18" s="116"/>
      <c r="N18" s="116"/>
      <c r="O18" s="117"/>
      <c r="P18" s="117"/>
      <c r="Q18" s="116"/>
      <c r="R18" s="116"/>
      <c r="S18" s="116"/>
      <c r="T18" s="117"/>
      <c r="U18" s="117"/>
    </row>
    <row r="19" spans="1:21" ht="43.5" thickBot="1">
      <c r="A19" s="8" t="s">
        <v>29</v>
      </c>
      <c r="B19" s="118"/>
      <c r="C19" s="119"/>
      <c r="D19" s="120"/>
      <c r="E19" s="121"/>
      <c r="F19" s="121"/>
      <c r="G19" s="122"/>
      <c r="H19" s="122"/>
      <c r="I19" s="122"/>
      <c r="J19" s="121"/>
      <c r="K19" s="121"/>
      <c r="L19" s="123"/>
      <c r="M19" s="124"/>
      <c r="N19" s="125"/>
      <c r="O19" s="126"/>
      <c r="P19" s="126"/>
      <c r="Q19" s="123"/>
      <c r="R19" s="124"/>
      <c r="S19" s="125"/>
      <c r="T19" s="126"/>
      <c r="U19" s="126"/>
    </row>
    <row r="20" spans="1:21" ht="15">
      <c r="A20" s="9" t="s">
        <v>13</v>
      </c>
      <c r="B20" s="127"/>
      <c r="C20" s="128"/>
      <c r="D20" s="129"/>
      <c r="E20" s="130"/>
      <c r="F20" s="130"/>
      <c r="G20" s="131"/>
      <c r="H20" s="131"/>
      <c r="I20" s="131"/>
      <c r="J20" s="130"/>
      <c r="K20" s="130"/>
      <c r="L20" s="132"/>
      <c r="M20" s="133"/>
      <c r="N20" s="134"/>
      <c r="O20" s="135"/>
      <c r="P20" s="135"/>
      <c r="Q20" s="132"/>
      <c r="R20" s="133"/>
      <c r="S20" s="134"/>
      <c r="T20" s="135"/>
      <c r="U20" s="135"/>
    </row>
    <row r="21" spans="1:21" ht="13.15" customHeight="1">
      <c r="A21" s="10" t="s">
        <v>14</v>
      </c>
      <c r="B21" s="76">
        <v>741</v>
      </c>
      <c r="C21" s="76">
        <v>740.26</v>
      </c>
      <c r="D21" s="76">
        <v>740</v>
      </c>
      <c r="E21" s="136">
        <f>ROUND((B21+C21+D21)/3,2)</f>
        <v>740.42</v>
      </c>
      <c r="F21" s="80">
        <v>0.94993581514762515</v>
      </c>
      <c r="G21" s="76">
        <v>741</v>
      </c>
      <c r="H21" s="76">
        <v>740.26</v>
      </c>
      <c r="I21" s="76">
        <v>740</v>
      </c>
      <c r="J21" s="136">
        <f>ROUND((G21+H21+I21)/3,2)</f>
        <v>740.42</v>
      </c>
      <c r="K21" s="80">
        <v>0.94993581514762515</v>
      </c>
      <c r="L21" s="82">
        <v>780</v>
      </c>
      <c r="M21" s="137">
        <v>779.22</v>
      </c>
      <c r="N21" s="137">
        <v>779</v>
      </c>
      <c r="O21" s="138">
        <f>ROUND((L21+M21+N21)/3,2)</f>
        <v>779.41</v>
      </c>
      <c r="P21" s="86">
        <v>1</v>
      </c>
      <c r="Q21" s="82">
        <v>780</v>
      </c>
      <c r="R21" s="137">
        <v>779.22</v>
      </c>
      <c r="S21" s="137">
        <v>779</v>
      </c>
      <c r="T21" s="138">
        <f>ROUND((Q21+R21+S21)/3,2)</f>
        <v>779.41</v>
      </c>
      <c r="U21" s="86">
        <v>1</v>
      </c>
    </row>
    <row r="22" spans="1:21" ht="13.15" customHeight="1">
      <c r="A22" s="10" t="s">
        <v>15</v>
      </c>
      <c r="B22" s="76">
        <v>620</v>
      </c>
      <c r="C22" s="76">
        <v>619.38</v>
      </c>
      <c r="D22" s="76">
        <v>619</v>
      </c>
      <c r="E22" s="136">
        <f>ROUND((B22+C22+D22)/3,2)</f>
        <v>619.46</v>
      </c>
      <c r="F22" s="80">
        <v>0.79460847240051347</v>
      </c>
      <c r="G22" s="76">
        <v>620</v>
      </c>
      <c r="H22" s="76">
        <v>619.38</v>
      </c>
      <c r="I22" s="76">
        <v>619</v>
      </c>
      <c r="J22" s="136">
        <f>ROUND((G22+H22+I22)/3,2)</f>
        <v>619.46</v>
      </c>
      <c r="K22" s="80">
        <v>0.79460847240051347</v>
      </c>
      <c r="L22" s="82">
        <v>659</v>
      </c>
      <c r="M22" s="137">
        <v>658.34</v>
      </c>
      <c r="N22" s="137">
        <v>658</v>
      </c>
      <c r="O22" s="138">
        <f>ROUND((L22+M22+N22)/3,2)</f>
        <v>658.45</v>
      </c>
      <c r="P22" s="86">
        <v>0.84467265725288831</v>
      </c>
      <c r="Q22" s="82">
        <v>659</v>
      </c>
      <c r="R22" s="137">
        <v>658.34</v>
      </c>
      <c r="S22" s="137">
        <v>658</v>
      </c>
      <c r="T22" s="138">
        <f>ROUND((Q22+R22+S22)/3,2)</f>
        <v>658.45</v>
      </c>
      <c r="U22" s="86">
        <v>0.84467265725288831</v>
      </c>
    </row>
    <row r="23" spans="1:21" ht="15.75" thickBot="1">
      <c r="A23" s="11" t="s">
        <v>16</v>
      </c>
      <c r="B23" s="76">
        <v>499</v>
      </c>
      <c r="C23" s="76">
        <v>498.5</v>
      </c>
      <c r="D23" s="76">
        <v>498</v>
      </c>
      <c r="E23" s="139">
        <f>ROUND((B23+C23+D23)/3,2)</f>
        <v>498.5</v>
      </c>
      <c r="F23" s="80">
        <v>0.63928112965340178</v>
      </c>
      <c r="G23" s="76">
        <v>499</v>
      </c>
      <c r="H23" s="76">
        <v>498.5</v>
      </c>
      <c r="I23" s="76">
        <v>498</v>
      </c>
      <c r="J23" s="139">
        <f>ROUND((G23+H23+I23)/3,2)</f>
        <v>498.5</v>
      </c>
      <c r="K23" s="80">
        <v>0.63928112965340178</v>
      </c>
      <c r="L23" s="82">
        <v>543</v>
      </c>
      <c r="M23" s="137">
        <v>542.46</v>
      </c>
      <c r="N23" s="137">
        <v>542</v>
      </c>
      <c r="O23" s="140">
        <f>ROUND((L23+M23+N23)/3,2)</f>
        <v>542.49</v>
      </c>
      <c r="P23" s="86">
        <v>0.69576379974326064</v>
      </c>
      <c r="Q23" s="82">
        <v>543</v>
      </c>
      <c r="R23" s="137">
        <v>542.46</v>
      </c>
      <c r="S23" s="137">
        <v>542</v>
      </c>
      <c r="T23" s="140">
        <f>ROUND((Q23+R23+S23)/3,2)</f>
        <v>542.49</v>
      </c>
      <c r="U23" s="86">
        <v>0.69576379974326064</v>
      </c>
    </row>
    <row r="24" spans="1:21" ht="15">
      <c r="A24" s="9" t="s">
        <v>17</v>
      </c>
      <c r="B24" s="127"/>
      <c r="C24" s="128"/>
      <c r="D24" s="129"/>
      <c r="E24" s="130"/>
      <c r="F24" s="130"/>
      <c r="G24" s="127"/>
      <c r="H24" s="128"/>
      <c r="I24" s="129"/>
      <c r="J24" s="130"/>
      <c r="K24" s="130"/>
      <c r="L24" s="132"/>
      <c r="M24" s="133"/>
      <c r="N24" s="133"/>
      <c r="O24" s="135"/>
      <c r="P24" s="141"/>
      <c r="Q24" s="132"/>
      <c r="R24" s="133"/>
      <c r="S24" s="133"/>
      <c r="T24" s="135"/>
      <c r="U24" s="141"/>
    </row>
    <row r="25" spans="1:21" ht="13.15" customHeight="1">
      <c r="A25" s="10" t="s">
        <v>18</v>
      </c>
      <c r="B25" s="76">
        <v>620</v>
      </c>
      <c r="C25" s="76">
        <v>619.38</v>
      </c>
      <c r="D25" s="76">
        <v>619</v>
      </c>
      <c r="E25" s="136">
        <f>ROUND((B25+C25+D25)/3,2)</f>
        <v>619.46</v>
      </c>
      <c r="F25" s="80">
        <v>0.79460847240051347</v>
      </c>
      <c r="G25" s="76">
        <v>620</v>
      </c>
      <c r="H25" s="76">
        <v>619.38</v>
      </c>
      <c r="I25" s="76">
        <v>619</v>
      </c>
      <c r="J25" s="136">
        <f>ROUND((G25+H25+I25)/3,2)</f>
        <v>619.46</v>
      </c>
      <c r="K25" s="80">
        <v>0.79460847240051347</v>
      </c>
      <c r="L25" s="82">
        <v>659</v>
      </c>
      <c r="M25" s="137">
        <v>658.34</v>
      </c>
      <c r="N25" s="137">
        <v>658</v>
      </c>
      <c r="O25" s="138">
        <f>ROUND((L25+M25+N25)/3,2)</f>
        <v>658.45</v>
      </c>
      <c r="P25" s="86">
        <v>0.84467265725288831</v>
      </c>
      <c r="Q25" s="82">
        <v>659</v>
      </c>
      <c r="R25" s="137">
        <v>658.34</v>
      </c>
      <c r="S25" s="137">
        <v>658</v>
      </c>
      <c r="T25" s="138">
        <f>ROUND((Q25+R25+S25)/3,2)</f>
        <v>658.45</v>
      </c>
      <c r="U25" s="86">
        <v>0.84467265725288831</v>
      </c>
    </row>
    <row r="26" spans="1:21" ht="15">
      <c r="A26" s="10" t="s">
        <v>19</v>
      </c>
      <c r="B26" s="76">
        <v>499</v>
      </c>
      <c r="C26" s="76">
        <v>498.5</v>
      </c>
      <c r="D26" s="76">
        <v>498</v>
      </c>
      <c r="E26" s="136">
        <f>ROUND((B26+C26+D26)/3,2)</f>
        <v>498.5</v>
      </c>
      <c r="F26" s="80">
        <v>0.63928112965340178</v>
      </c>
      <c r="G26" s="76">
        <v>499</v>
      </c>
      <c r="H26" s="76">
        <v>498.5</v>
      </c>
      <c r="I26" s="76">
        <v>498</v>
      </c>
      <c r="J26" s="136">
        <f>ROUND((G26+H26+I26)/3,2)</f>
        <v>498.5</v>
      </c>
      <c r="K26" s="80">
        <v>0.63928112965340178</v>
      </c>
      <c r="L26" s="82">
        <v>543</v>
      </c>
      <c r="M26" s="137">
        <v>542.46</v>
      </c>
      <c r="N26" s="137">
        <v>542</v>
      </c>
      <c r="O26" s="138">
        <f>ROUND((L26+M26+N26)/3,2)</f>
        <v>542.49</v>
      </c>
      <c r="P26" s="86">
        <v>0.69576379974326064</v>
      </c>
      <c r="Q26" s="82">
        <v>543</v>
      </c>
      <c r="R26" s="137">
        <v>542.46</v>
      </c>
      <c r="S26" s="137">
        <v>542</v>
      </c>
      <c r="T26" s="138">
        <f>ROUND((Q26+R26+S26)/3,2)</f>
        <v>542.49</v>
      </c>
      <c r="U26" s="86">
        <v>0.69576379974326064</v>
      </c>
    </row>
    <row r="27" spans="1:21" ht="15.75" thickBot="1">
      <c r="A27" s="11" t="s">
        <v>20</v>
      </c>
      <c r="B27" s="76">
        <v>444</v>
      </c>
      <c r="C27" s="76">
        <v>443.56</v>
      </c>
      <c r="D27" s="76">
        <v>443</v>
      </c>
      <c r="E27" s="139">
        <f>ROUND((B27+C27+D27)/3,2)</f>
        <v>443.52</v>
      </c>
      <c r="F27" s="80">
        <v>0.56867779204107827</v>
      </c>
      <c r="G27" s="76">
        <v>444</v>
      </c>
      <c r="H27" s="76">
        <v>443.56</v>
      </c>
      <c r="I27" s="76">
        <v>443</v>
      </c>
      <c r="J27" s="139">
        <f>ROUND((G27+H27+I27)/3,2)</f>
        <v>443.52</v>
      </c>
      <c r="K27" s="80">
        <v>0.56867779204107827</v>
      </c>
      <c r="L27" s="82">
        <v>483</v>
      </c>
      <c r="M27" s="137">
        <v>482.52</v>
      </c>
      <c r="N27" s="137">
        <v>482</v>
      </c>
      <c r="O27" s="140">
        <f>ROUND((L27+M27+N27)/3,2)</f>
        <v>482.51</v>
      </c>
      <c r="P27" s="86">
        <v>0.61874197689345312</v>
      </c>
      <c r="Q27" s="82">
        <v>483</v>
      </c>
      <c r="R27" s="137">
        <v>482.52</v>
      </c>
      <c r="S27" s="137">
        <v>482</v>
      </c>
      <c r="T27" s="140">
        <f>ROUND((Q27+R27+S27)/3,2)</f>
        <v>482.51</v>
      </c>
      <c r="U27" s="86">
        <v>0.61874197689345312</v>
      </c>
    </row>
    <row r="28" spans="1:21" ht="15">
      <c r="A28" s="9" t="s">
        <v>21</v>
      </c>
      <c r="B28" s="127"/>
      <c r="C28" s="128"/>
      <c r="D28" s="129"/>
      <c r="E28" s="130"/>
      <c r="F28" s="130"/>
      <c r="G28" s="127"/>
      <c r="H28" s="128"/>
      <c r="I28" s="129"/>
      <c r="J28" s="130"/>
      <c r="K28" s="130"/>
      <c r="L28" s="132"/>
      <c r="M28" s="133"/>
      <c r="N28" s="133"/>
      <c r="O28" s="135"/>
      <c r="P28" s="141"/>
      <c r="Q28" s="132"/>
      <c r="R28" s="133"/>
      <c r="S28" s="133"/>
      <c r="T28" s="135"/>
      <c r="U28" s="141"/>
    </row>
    <row r="29" spans="1:21" ht="13.15" customHeight="1">
      <c r="A29" s="10" t="s">
        <v>18</v>
      </c>
      <c r="B29" s="76">
        <v>499</v>
      </c>
      <c r="C29" s="76">
        <v>498.5</v>
      </c>
      <c r="D29" s="76">
        <v>498</v>
      </c>
      <c r="E29" s="136">
        <f>ROUND((B29+C29+D29)/3,2)</f>
        <v>498.5</v>
      </c>
      <c r="F29" s="80">
        <v>0.63928112965340178</v>
      </c>
      <c r="G29" s="76">
        <v>499</v>
      </c>
      <c r="H29" s="76">
        <v>498.5</v>
      </c>
      <c r="I29" s="76">
        <v>498</v>
      </c>
      <c r="J29" s="136">
        <f>ROUND((G29+H29+I29)/3,2)</f>
        <v>498.5</v>
      </c>
      <c r="K29" s="80">
        <v>0.63928112965340178</v>
      </c>
      <c r="L29" s="82">
        <v>543</v>
      </c>
      <c r="M29" s="137">
        <v>542.46</v>
      </c>
      <c r="N29" s="137">
        <v>542</v>
      </c>
      <c r="O29" s="138">
        <f>ROUND((L29+M29+N29)/3,2)</f>
        <v>542.49</v>
      </c>
      <c r="P29" s="86">
        <v>0.69576379974326064</v>
      </c>
      <c r="Q29" s="82">
        <v>543</v>
      </c>
      <c r="R29" s="137">
        <v>542.46</v>
      </c>
      <c r="S29" s="137">
        <v>542</v>
      </c>
      <c r="T29" s="138">
        <f>ROUND((Q29+R29+S29)/3,2)</f>
        <v>542.49</v>
      </c>
      <c r="U29" s="86">
        <v>0.69576379974326064</v>
      </c>
    </row>
    <row r="30" spans="1:21" ht="15">
      <c r="A30" s="10" t="s">
        <v>19</v>
      </c>
      <c r="B30" s="76">
        <v>444</v>
      </c>
      <c r="C30" s="76">
        <v>443.56</v>
      </c>
      <c r="D30" s="76">
        <v>443</v>
      </c>
      <c r="E30" s="136">
        <f>ROUND((B30+C30+D30)/3,2)</f>
        <v>443.52</v>
      </c>
      <c r="F30" s="80">
        <v>0.56867779204107827</v>
      </c>
      <c r="G30" s="76">
        <v>444</v>
      </c>
      <c r="H30" s="76">
        <v>443.56</v>
      </c>
      <c r="I30" s="76">
        <v>443</v>
      </c>
      <c r="J30" s="136">
        <f>ROUND((G30+H30+I30)/3,2)</f>
        <v>443.52</v>
      </c>
      <c r="K30" s="80">
        <v>0.56867779204107827</v>
      </c>
      <c r="L30" s="82">
        <v>483</v>
      </c>
      <c r="M30" s="137">
        <v>482.52</v>
      </c>
      <c r="N30" s="137">
        <v>482</v>
      </c>
      <c r="O30" s="138">
        <f>ROUND((L30+M30+N30)/3,2)</f>
        <v>482.51</v>
      </c>
      <c r="P30" s="86">
        <v>0.61874197689345312</v>
      </c>
      <c r="Q30" s="82">
        <v>483</v>
      </c>
      <c r="R30" s="137">
        <v>482.52</v>
      </c>
      <c r="S30" s="137">
        <v>482</v>
      </c>
      <c r="T30" s="138">
        <f>ROUND((Q30+R30+S30)/3,2)</f>
        <v>482.51</v>
      </c>
      <c r="U30" s="86">
        <v>0.61874197689345312</v>
      </c>
    </row>
    <row r="31" spans="1:21" ht="15.75" thickBot="1">
      <c r="A31" s="11" t="s">
        <v>20</v>
      </c>
      <c r="B31" s="76">
        <v>378</v>
      </c>
      <c r="C31" s="76">
        <v>377.62</v>
      </c>
      <c r="D31" s="76">
        <v>377</v>
      </c>
      <c r="E31" s="139">
        <f>ROUND((B31+C31+D31)/3,2)</f>
        <v>377.54</v>
      </c>
      <c r="F31" s="80">
        <v>0.4839537869062901</v>
      </c>
      <c r="G31" s="76">
        <v>378</v>
      </c>
      <c r="H31" s="76">
        <v>377.62</v>
      </c>
      <c r="I31" s="76">
        <v>377</v>
      </c>
      <c r="J31" s="139">
        <f>ROUND((G31+H31+I31)/3,2)</f>
        <v>377.54</v>
      </c>
      <c r="K31" s="80">
        <v>0.4839537869062901</v>
      </c>
      <c r="L31" s="82">
        <v>428</v>
      </c>
      <c r="M31" s="137">
        <v>427.57</v>
      </c>
      <c r="N31" s="137">
        <v>427</v>
      </c>
      <c r="O31" s="140">
        <f>ROUND((L31+M31+N31)/3,2)</f>
        <v>427.52</v>
      </c>
      <c r="P31" s="86">
        <v>0.5481386392811296</v>
      </c>
      <c r="Q31" s="82">
        <v>428</v>
      </c>
      <c r="R31" s="137">
        <v>427.57</v>
      </c>
      <c r="S31" s="137">
        <v>427</v>
      </c>
      <c r="T31" s="140">
        <f>ROUND((Q31+R31+S31)/3,2)</f>
        <v>427.52</v>
      </c>
      <c r="U31" s="86">
        <v>0.5481386392811296</v>
      </c>
    </row>
  </sheetData>
  <mergeCells count="18">
    <mergeCell ref="A2:U2"/>
    <mergeCell ref="A3:A5"/>
    <mergeCell ref="B3:F3"/>
    <mergeCell ref="G3:K3"/>
    <mergeCell ref="L3:P3"/>
    <mergeCell ref="Q3:U3"/>
    <mergeCell ref="E4:E5"/>
    <mergeCell ref="F4:F5"/>
    <mergeCell ref="J4:J5"/>
    <mergeCell ref="K4:K5"/>
    <mergeCell ref="O4:O5"/>
    <mergeCell ref="P4:P5"/>
    <mergeCell ref="T4:T5"/>
    <mergeCell ref="U4:U5"/>
    <mergeCell ref="B5:D5"/>
    <mergeCell ref="G5:I5"/>
    <mergeCell ref="L5:N5"/>
    <mergeCell ref="Q5:S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3">
    <pageSetUpPr fitToPage="1"/>
  </sheetPr>
  <dimension ref="A1:M46"/>
  <sheetViews>
    <sheetView showZeros="0" tabSelected="1" zoomScale="60" zoomScaleNormal="60" workbookViewId="0">
      <selection activeCell="B3" sqref="B3:B7"/>
    </sheetView>
  </sheetViews>
  <sheetFormatPr defaultColWidth="8.75" defaultRowHeight="15.75"/>
  <cols>
    <col min="1" max="1" width="53.25" style="1" customWidth="1"/>
    <col min="2" max="5" width="17.125" style="1" customWidth="1"/>
    <col min="6" max="6" width="19.5" style="1" customWidth="1"/>
    <col min="7" max="9" width="17.125" style="1" customWidth="1"/>
    <col min="10" max="11" width="8.75" style="1"/>
    <col min="12" max="12" width="12.875" style="1" bestFit="1" customWidth="1"/>
    <col min="13" max="13" width="0" style="1" hidden="1" customWidth="1"/>
    <col min="14" max="16384" width="8.75" style="1"/>
  </cols>
  <sheetData>
    <row r="1" spans="1:13" ht="22.9" customHeight="1" thickBot="1">
      <c r="A1" s="221" t="s">
        <v>71</v>
      </c>
      <c r="B1" s="222"/>
      <c r="C1" s="222"/>
      <c r="D1" s="222"/>
      <c r="E1" s="222"/>
      <c r="F1" s="222"/>
      <c r="G1" s="222"/>
      <c r="H1" s="222"/>
      <c r="I1" s="223"/>
    </row>
    <row r="2" spans="1:13" ht="82.15" customHeight="1">
      <c r="A2" s="154" t="s">
        <v>0</v>
      </c>
      <c r="B2" s="155" t="s">
        <v>42</v>
      </c>
      <c r="C2" s="155" t="s">
        <v>69</v>
      </c>
      <c r="D2" s="155" t="s">
        <v>84</v>
      </c>
      <c r="E2" s="155" t="s">
        <v>73</v>
      </c>
      <c r="F2" s="155" t="s">
        <v>74</v>
      </c>
      <c r="G2" s="155" t="s">
        <v>65</v>
      </c>
      <c r="H2" s="155" t="s">
        <v>70</v>
      </c>
      <c r="I2" s="156" t="s">
        <v>75</v>
      </c>
    </row>
    <row r="3" spans="1:13" ht="23.45" customHeight="1">
      <c r="A3" s="160" t="s">
        <v>33</v>
      </c>
      <c r="B3" s="238" t="s">
        <v>72</v>
      </c>
      <c r="C3" s="157" t="str">
        <f>IF($B$3="","-",
   IF(AND($B$3&gt;0,$B$3&lt;=10),
      IF(ISNUMBER(D3),
         IF(D3&gt;0,"так",IF(D3=0,"ні",IF($I$3=0,"-",""))),
         IF(D3="-","-",)
      ),
   "-")
)</f>
        <v>-</v>
      </c>
      <c r="D3" s="161" t="str">
        <f>IF(B3=1,ОВ!C35,IF(B3=2,ОВ!C36,IF(B3=3,ОВ!C37,IF(B3=4,ОВ!C38,IF(B3=5,ОВ!C39,IF(B3=6,ОВ!C40,IF(B3=7,ОВ!C41,IF(B3=8,ОВ!C42,IF(B3=9,ОВ!C43,IF(B3=10,ОВ!C44,IF(B3="__","-")))))))))))</f>
        <v>-</v>
      </c>
      <c r="E3" s="174" t="str">
        <f>IFERROR(G3/D3,"-")</f>
        <v>-</v>
      </c>
      <c r="F3" s="172" t="str">
        <f>IF(C3="ні","-",
IF($B$3=1,ОВ!D14,
IF($B$3=2,ОВ!D15,
IF($B$3=3,ОВ!D16,
IF($B$3=4,ОВ!D17,
IF($B$3=5,ОВ!D18,
IF($B$3=6,ОВ!D19,
IF($B$3=7,ОВ!D20,
IF($B$3=8,ОВ!D21,
IF($B$3=9,ОВ!D22,
IF($B$3=10,ОВ!D23,"-")))))))))))</f>
        <v>-</v>
      </c>
      <c r="G3" s="162" t="str">
        <f>IFERROR(  IF(OR(C3&lt;&gt;"так", F3=0, F3="-"),  "-",  IF(COUNTIF(F4:$F$9,"&gt;0")=0,  $I$3-SUMIF($G$2:G2,"&gt;0"),  ROUND($I$3*F3,2) )),"-")</f>
        <v>-</v>
      </c>
      <c r="H3" s="241" t="str">
        <f>IF(AND(B3&gt;=1, B3&lt;=10), CHOOSE(B3, ОВ!M14,ОВ!M15,ОВ!M16,ОВ!M17,ОВ!M18,ОВ!M19,ОВ!M20,ОВ!M21,ОВ!M22,ОВ!M23), "-")</f>
        <v>-</v>
      </c>
      <c r="I3" s="227"/>
    </row>
    <row r="4" spans="1:13" ht="23.45" customHeight="1">
      <c r="A4" s="160" t="s">
        <v>34</v>
      </c>
      <c r="B4" s="239"/>
      <c r="C4" s="157" t="str">
        <f t="shared" ref="C4:C7" si="0">IF($B$3="","-",
   IF(AND($B$3&gt;0,$B$3&lt;=10),
      IF(ISNUMBER(D4),
         IF(D4&gt;0,"так",IF(D4=0,"ні",IF($I$3=0,"-",""))),
         IF(D4="-","-",)
      ),
   "-")
)</f>
        <v>-</v>
      </c>
      <c r="D4" s="161" t="str">
        <f>IF(B3=1,ОВ!D35,IF(B3=2,ОВ!D36,IF(B3=3,ОВ!D37,IF(B3=4,ОВ!D38,IF(B3=5,ОВ!D39,IF(B3=6,ОВ!D40,IF(B3=7,ОВ!D41,IF(B3=8,ОВ!D42,IF(B3=9,ОВ!D43,IF(B3=10,ОВ!D44,IF(B3="__","-")))))))))))</f>
        <v>-</v>
      </c>
      <c r="E4" s="174" t="str">
        <f t="shared" ref="E4:E7" si="1">IFERROR(G4/D4,"-")</f>
        <v>-</v>
      </c>
      <c r="F4" s="172" t="str">
        <f>IF(C4="ні","-",
IF($B$3=1,ОВ!F14,
IF($B$3=2,ОВ!F15,
IF($B$3=3,ОВ!F16,
IF($B$3=4,ОВ!F17,
IF($B$3=5,ОВ!F18,
IF($B$3=6,ОВ!F19,
IF($B$3=7,ОВ!F20,
IF($B$3=8,ОВ!F21,
IF($B$3=9,ОВ!F22,
IF($B$3=10,ОВ!F23,"-")))))))))))</f>
        <v>-</v>
      </c>
      <c r="G4" s="162" t="str">
        <f>IFERROR(  IF(OR(C4&lt;&gt;"так", F4=0, F4="-"),  "-",  IF(COUNTIF(F5:$F$9,"&gt;0")=0,  $I$3-SUMIF($G$2:G3,"&gt;0"),  ROUND($I$3*F4,2) )),"-")</f>
        <v>-</v>
      </c>
      <c r="H4" s="242"/>
      <c r="I4" s="228"/>
      <c r="J4" s="51"/>
      <c r="K4" s="51"/>
      <c r="M4" s="50" t="s">
        <v>62</v>
      </c>
    </row>
    <row r="5" spans="1:13" ht="23.45" customHeight="1">
      <c r="A5" s="160" t="s">
        <v>64</v>
      </c>
      <c r="B5" s="239"/>
      <c r="C5" s="157" t="str">
        <f t="shared" si="0"/>
        <v>-</v>
      </c>
      <c r="D5" s="161" t="str">
        <f>IF(B3=1,ОВ!E35,IF(B3=2,ОВ!E36,IF(B3=3,ОВ!E37,IF(B3=4,ОВ!E38,IF(B3=5,ОВ!E39,IF(B3=6,ОВ!E40,IF(B3=7,ОВ!E41,IF(B3=8,ОВ!E42,IF(B3=9,ОВ!E43,IF(B3=10,ОВ!E44,IF(B3="__","-")))))))))))</f>
        <v>-</v>
      </c>
      <c r="E5" s="174" t="str">
        <f t="shared" si="1"/>
        <v>-</v>
      </c>
      <c r="F5" s="172" t="str">
        <f>IF(C5="ні","-",
IF($B$3=1,ОВ!H14,
IF($B$3=2,ОВ!H15,
IF($B$3=3,ОВ!H16,
IF($B$3=4,ОВ!H17,
IF($B$3=5,ОВ!H18,
IF($B$3=6,ОВ!H19,
IF($B$3=7,ОВ!H20,
IF($B$3=8,ОВ!H21,
IF($B$3=9,ОВ!H22,
IF($B$3=10,ОВ!H23,"-")))))))))))</f>
        <v>-</v>
      </c>
      <c r="G5" s="162" t="str">
        <f>IFERROR(  IF(OR(C5&lt;&gt;"так", F5=0, F5="-"),  "-",  IF(COUNTIF(F6:$F$9,"&gt;0")=0,  $I$3-SUMIF($G$2:G4,"&gt;0"),  ROUND($I$3*F5,2) )),"-")</f>
        <v>-</v>
      </c>
      <c r="H5" s="242"/>
      <c r="I5" s="228"/>
      <c r="M5" s="50" t="s">
        <v>63</v>
      </c>
    </row>
    <row r="6" spans="1:13" ht="23.45" customHeight="1">
      <c r="A6" s="160" t="s">
        <v>35</v>
      </c>
      <c r="B6" s="239"/>
      <c r="C6" s="157" t="str">
        <f t="shared" si="0"/>
        <v>-</v>
      </c>
      <c r="D6" s="161" t="str">
        <f>IF(B3=1,ОВ!F35,IF(B3=2,ОВ!F36,IF(B3=3,ОВ!F37,IF(B3=4,ОВ!F38,IF(B3=5,ОВ!F39,IF(B3=6,ОВ!F40,IF(B3=7,ОВ!F41,IF(B3=8,ОВ!F42,IF(B3=9,ОВ!F43,IF(B3=10,ОВ!F44,IF(B3="__","-")))))))))))</f>
        <v>-</v>
      </c>
      <c r="E6" s="174" t="str">
        <f t="shared" si="1"/>
        <v>-</v>
      </c>
      <c r="F6" s="172" t="str">
        <f>IF(C6="ні","-",
IF($B$3=1,ОВ!J14,
IF($B$3=2,ОВ!J15,
IF($B$3=3,ОВ!J16,
IF($B$3=4,ОВ!J17,
IF($B$3=5,ОВ!J18,
IF($B$3=6,ОВ!J19,
IF($B$3=7,ОВ!J20,
IF($B$3=8,ОВ!J21,
IF($B$3=9,ОВ!J22,
IF($B$3=10,ОВ!J23,"-")))))))))))</f>
        <v>-</v>
      </c>
      <c r="G6" s="162" t="str">
        <f>IFERROR(  IF(OR(C6&lt;&gt;"так", F6=0, F6="-"),  "-",  IF(COUNTIF(F7:$F$9,"&gt;0")=0,  $I$3-SUMIF($G$2:G5,"&gt;0"),  ROUND($I$3*F6,2) )),"-")</f>
        <v>-</v>
      </c>
      <c r="H6" s="242"/>
      <c r="I6" s="228"/>
      <c r="L6" s="167"/>
      <c r="M6" s="50"/>
    </row>
    <row r="7" spans="1:13" ht="23.45" customHeight="1" thickBot="1">
      <c r="A7" s="163" t="s">
        <v>55</v>
      </c>
      <c r="B7" s="240"/>
      <c r="C7" s="158" t="str">
        <f t="shared" si="0"/>
        <v>-</v>
      </c>
      <c r="D7" s="164" t="str">
        <f>IF(B3=1,ОВ!G35,IF(B3=2,ОВ!G36,IF(B3=3,ОВ!G37,IF(B3=4,ОВ!G38,IF(B3=5,ОВ!G39,IF(B3=6,ОВ!G40,IF(B3=7,ОВ!G41,IF(B3=8,ОВ!G42,IF(B3=9,ОВ!G43,IF(B3=10,ОВ!G44,IF(B3="__","-")))))))))))</f>
        <v>-</v>
      </c>
      <c r="E7" s="175" t="str">
        <f t="shared" si="1"/>
        <v>-</v>
      </c>
      <c r="F7" s="173" t="str">
        <f>IF(C7="ні","-",
IF($B$3=1,ОВ!L14,
IF($B$3=2,ОВ!L15,
IF($B$3=3,ОВ!L16,
IF($B$3=4,ОВ!L17,
IF($B$3=5,ОВ!L18,
IF($B$3=6,ОВ!L19,
IF($B$3=7,ОВ!L20,
IF($B$3=8,ОВ!L21,
IF($B$3=9,ОВ!L22,
IF($B$3=10,ОВ!L23,"-")))))))))))</f>
        <v>-</v>
      </c>
      <c r="G7" s="165" t="str">
        <f>IFERROR(  IF(OR(C7&lt;&gt;"так", F7=0, F7="-"),  "-",  IF(COUNTIF(F8:$F$9,"&gt;0")=0,  $I$3-SUMIF($G$2:G6,"&gt;0"),  ROUND($I$3*F7,2) )),"-")</f>
        <v>-</v>
      </c>
      <c r="H7" s="243"/>
      <c r="I7" s="229"/>
      <c r="M7" s="50"/>
    </row>
    <row r="8" spans="1:13" ht="11.45" customHeight="1">
      <c r="A8" s="39"/>
      <c r="B8" s="159"/>
      <c r="C8" s="39"/>
      <c r="D8" s="39"/>
      <c r="E8" s="39"/>
      <c r="F8" s="39"/>
      <c r="G8" s="39"/>
      <c r="H8" s="39"/>
      <c r="I8" s="39"/>
      <c r="M8" s="50"/>
    </row>
    <row r="9" spans="1:13" ht="11.45" customHeight="1" thickBot="1">
      <c r="A9" s="39"/>
      <c r="B9" s="39"/>
      <c r="C9" s="39"/>
      <c r="D9" s="39"/>
      <c r="E9" s="39"/>
      <c r="F9" s="39"/>
      <c r="G9" s="39"/>
      <c r="H9" s="39"/>
      <c r="I9" s="39"/>
      <c r="M9" s="50"/>
    </row>
    <row r="10" spans="1:13" ht="49.9" customHeight="1" thickBot="1">
      <c r="A10" s="224" t="s">
        <v>82</v>
      </c>
      <c r="B10" s="225"/>
      <c r="C10" s="225"/>
      <c r="D10" s="225"/>
      <c r="E10" s="225"/>
      <c r="F10" s="225"/>
      <c r="G10" s="225"/>
      <c r="H10" s="225"/>
      <c r="I10" s="226"/>
    </row>
    <row r="11" spans="1:13" ht="37.15" customHeight="1" thickBot="1">
      <c r="A11" s="233" t="s">
        <v>0</v>
      </c>
      <c r="B11" s="13" t="s">
        <v>1</v>
      </c>
      <c r="C11" s="14" t="s">
        <v>76</v>
      </c>
      <c r="D11" s="13" t="s">
        <v>2</v>
      </c>
      <c r="E11" s="14" t="s">
        <v>76</v>
      </c>
      <c r="F11" s="13" t="s">
        <v>1</v>
      </c>
      <c r="G11" s="14" t="s">
        <v>76</v>
      </c>
      <c r="H11" s="13" t="s">
        <v>2</v>
      </c>
      <c r="I11" s="14" t="s">
        <v>76</v>
      </c>
    </row>
    <row r="12" spans="1:13" ht="16.5" thickBot="1">
      <c r="A12" s="234"/>
      <c r="B12" s="235" t="s">
        <v>3</v>
      </c>
      <c r="C12" s="236"/>
      <c r="D12" s="236"/>
      <c r="E12" s="237"/>
      <c r="F12" s="235" t="s">
        <v>4</v>
      </c>
      <c r="G12" s="236"/>
      <c r="H12" s="236"/>
      <c r="I12" s="237"/>
    </row>
    <row r="13" spans="1:13" ht="73.150000000000006" customHeight="1">
      <c r="A13" s="15" t="s">
        <v>77</v>
      </c>
      <c r="B13" s="16"/>
      <c r="C13" s="17"/>
      <c r="D13" s="16"/>
      <c r="E13" s="17"/>
      <c r="F13" s="16"/>
      <c r="G13" s="17"/>
      <c r="H13" s="16"/>
      <c r="I13" s="17"/>
    </row>
    <row r="14" spans="1:13" ht="18.600000000000001" customHeight="1">
      <c r="A14" s="18" t="s">
        <v>5</v>
      </c>
      <c r="B14" s="19" t="str">
        <f>IFERROR(IF(C14="-", "-", IF(ISNUMBER(C14), ROUND($E$3*C14, 2))), "-")</f>
        <v>-</v>
      </c>
      <c r="C14" s="54" t="str">
        <f>IF($C$3="так",Коеф.!F7,IF($C$3="ні","-",IF($C$3="-","-")))</f>
        <v>-</v>
      </c>
      <c r="D14" s="19" t="str">
        <f>IFERROR(IF(E14="-", "-", IF(ISNUMBER(E14), ROUND($E$3*E14, 2))), "-")</f>
        <v>-</v>
      </c>
      <c r="E14" s="34" t="str">
        <f>IF($C$3="так",Коеф.!K7,IF($C$3="ні","-",IF($C$3="-","-")))</f>
        <v>-</v>
      </c>
      <c r="F14" s="19" t="str">
        <f>IFERROR(IF(G14="-", "-", IF(ISNUMBER(G14), ROUND($E$3*G14, 2))), "-")</f>
        <v>-</v>
      </c>
      <c r="G14" s="34" t="str">
        <f>IF($C$3="так",Коеф.!P7,IF($C$3="ні","-",IF($C$3="-","-")))</f>
        <v>-</v>
      </c>
      <c r="H14" s="19" t="str">
        <f>IFERROR(IF(I14="-", "-", IF(ISNUMBER(I14), ROUND($E$3*I14, 2))), "-")</f>
        <v>-</v>
      </c>
      <c r="I14" s="34" t="str">
        <f>IF($C$3="так",Коеф.!U7,IF($C$3="ні","-",IF($C$3="-","-")))</f>
        <v>-</v>
      </c>
    </row>
    <row r="15" spans="1:13" ht="18.600000000000001" customHeight="1">
      <c r="A15" s="18" t="s">
        <v>6</v>
      </c>
      <c r="B15" s="19" t="str">
        <f t="shared" ref="B15:B17" si="2">IFERROR(IF(C15="-", "-", IF(ISNUMBER(C15), ROUND($E$3*C15, 2))), "-")</f>
        <v>-</v>
      </c>
      <c r="C15" s="54" t="str">
        <f>IF($C$3="так",Коеф.!F8,IF($C$3="ні","-",IF($C$3="-","-")))</f>
        <v>-</v>
      </c>
      <c r="D15" s="19" t="str">
        <f t="shared" ref="D15" si="3">IFERROR(IF(E15="-", "-", IF(ISNUMBER(E15), ROUND($E$3*E15, 2))), "-")</f>
        <v>-</v>
      </c>
      <c r="E15" s="34" t="str">
        <f>IF($C$3="так",Коеф.!K8,IF($C$3="ні","-",IF($C$3="-","-")))</f>
        <v>-</v>
      </c>
      <c r="F15" s="19" t="str">
        <f t="shared" ref="F15" si="4">IFERROR(IF(G15="-", "-", IF(ISNUMBER(G15), ROUND($E$3*G15, 2))), "-")</f>
        <v>-</v>
      </c>
      <c r="G15" s="34" t="str">
        <f>IF($C$3="так",Коеф.!P8,IF($C$3="ні","-",IF($C$3="-","-")))</f>
        <v>-</v>
      </c>
      <c r="H15" s="19" t="str">
        <f t="shared" ref="H15" si="5">IFERROR(IF(I15="-", "-", IF(ISNUMBER(I15), ROUND($E$3*I15, 2))), "-")</f>
        <v>-</v>
      </c>
      <c r="I15" s="34" t="str">
        <f>IF($C$3="так",Коеф.!U8,IF($C$3="ні","-",IF($C$3="-","-")))</f>
        <v>-</v>
      </c>
    </row>
    <row r="16" spans="1:13" ht="18.600000000000001" customHeight="1">
      <c r="A16" s="18" t="s">
        <v>7</v>
      </c>
      <c r="B16" s="19" t="str">
        <f t="shared" si="2"/>
        <v>-</v>
      </c>
      <c r="C16" s="54" t="str">
        <f>IF($C$3="так",Коеф.!F9,IF($C$3="ні","-",IF($C$3="-","-")))</f>
        <v>-</v>
      </c>
      <c r="D16" s="19" t="str">
        <f t="shared" ref="D16" si="6">IFERROR(IF(E16="-", "-", IF(ISNUMBER(E16), ROUND($E$3*E16, 2))), "-")</f>
        <v>-</v>
      </c>
      <c r="E16" s="34" t="str">
        <f>IF($C$3="так",Коеф.!K9,IF($C$3="ні","-",IF($C$3="-","-")))</f>
        <v>-</v>
      </c>
      <c r="F16" s="19" t="str">
        <f t="shared" ref="F16" si="7">IFERROR(IF(G16="-", "-", IF(ISNUMBER(G16), ROUND($E$3*G16, 2))), "-")</f>
        <v>-</v>
      </c>
      <c r="G16" s="34" t="str">
        <f>IF($C$3="так",Коеф.!P9,IF($C$3="ні","-",IF($C$3="-","-")))</f>
        <v>-</v>
      </c>
      <c r="H16" s="19" t="str">
        <f t="shared" ref="H16" si="8">IFERROR(IF(I16="-", "-", IF(ISNUMBER(I16), ROUND($E$3*I16, 2))), "-")</f>
        <v>-</v>
      </c>
      <c r="I16" s="34" t="str">
        <f>IF($C$3="так",Коеф.!U9,IF($C$3="ні","-",IF($C$3="-","-")))</f>
        <v>-</v>
      </c>
    </row>
    <row r="17" spans="1:9" ht="18.600000000000001" customHeight="1" thickBot="1">
      <c r="A17" s="20" t="s">
        <v>8</v>
      </c>
      <c r="B17" s="21" t="str">
        <f t="shared" si="2"/>
        <v>-</v>
      </c>
      <c r="C17" s="56" t="str">
        <f>IF($C$3="так",Коеф.!F10,IF($C$3="ні","-",IF($C$3="-","-")))</f>
        <v>-</v>
      </c>
      <c r="D17" s="21" t="str">
        <f t="shared" ref="D17" si="9">IFERROR(IF(E17="-", "-", IF(ISNUMBER(E17), ROUND($E$3*E17, 2))), "-")</f>
        <v>-</v>
      </c>
      <c r="E17" s="35" t="str">
        <f>IF($C$3="так",Коеф.!K10,IF($C$3="ні","-",IF($C$3="-","-")))</f>
        <v>-</v>
      </c>
      <c r="F17" s="21" t="str">
        <f t="shared" ref="F17" si="10">IFERROR(IF(G17="-", "-", IF(ISNUMBER(G17), ROUND($E$3*G17, 2))), "-")</f>
        <v>-</v>
      </c>
      <c r="G17" s="35" t="str">
        <f>IF($C$3="так",Коеф.!P10,IF($C$3="ні","-",IF($C$3="-","-")))</f>
        <v>-</v>
      </c>
      <c r="H17" s="21" t="str">
        <f t="shared" ref="H17" si="11">IFERROR(IF(I17="-", "-", IF(ISNUMBER(I17), ROUND($E$3*I17, 2))), "-")</f>
        <v>-</v>
      </c>
      <c r="I17" s="34" t="str">
        <f>IF($C$3="так",Коеф.!U10,IF($C$3="ні","-",IF($C$3="-","-")))</f>
        <v>-</v>
      </c>
    </row>
    <row r="18" spans="1:9" ht="64.150000000000006" customHeight="1" thickBot="1">
      <c r="A18" s="22" t="s">
        <v>78</v>
      </c>
      <c r="B18" s="59" t="str">
        <f>IFERROR(IF(C18="-", "-", IF(ISNUMBER(C18), ROUND($E$4*C18, 2))), "-")</f>
        <v>-</v>
      </c>
      <c r="C18" s="57" t="str">
        <f>IF($C$4="так",Коеф.!F11,IF($C$4="ні","-",IF($C$4="-","-")))</f>
        <v>-</v>
      </c>
      <c r="D18" s="59" t="str">
        <f>IFERROR(IF(E18="-", "-", IF(ISNUMBER(E18), ROUND($E$4*E18, 2))), "-")</f>
        <v>-</v>
      </c>
      <c r="E18" s="58" t="str">
        <f>IF($C$4="так",Коеф.!K11,IF($C$4="ні","-",IF($C$4="-","-")))</f>
        <v>-</v>
      </c>
      <c r="F18" s="59" t="str">
        <f>IFERROR(IF(G18="-", "-", IF(ISNUMBER(G18), ROUND($E$4*G18, 2))), "-")</f>
        <v>-</v>
      </c>
      <c r="G18" s="58" t="str">
        <f>IF($C$4="так",Коеф.!P11,IF($C$4="ні","-",IF($C$4="-","-")))</f>
        <v>-</v>
      </c>
      <c r="H18" s="59" t="str">
        <f>IFERROR(IF(I18="-", "-", IF(ISNUMBER(I18), ROUND($E$4*I18, 2))), "-")</f>
        <v>-</v>
      </c>
      <c r="I18" s="58" t="str">
        <f>IF($C$4="так",Коеф.!U11,IF($C$4="ні","-",IF($C$4="-","-")))</f>
        <v>-</v>
      </c>
    </row>
    <row r="19" spans="1:9" ht="55.9" customHeight="1">
      <c r="A19" s="23" t="s">
        <v>79</v>
      </c>
      <c r="B19" s="24"/>
      <c r="C19" s="36"/>
      <c r="D19" s="24"/>
      <c r="E19" s="36"/>
      <c r="F19" s="24"/>
      <c r="G19" s="36"/>
      <c r="H19" s="24"/>
      <c r="I19" s="36"/>
    </row>
    <row r="20" spans="1:9" ht="17.45" customHeight="1">
      <c r="A20" s="18" t="s">
        <v>10</v>
      </c>
      <c r="B20" s="19" t="str">
        <f>IFERROR(IF(C20="-", "-", IF(ISNUMBER(C20), ROUND($E$5*C20, 2))), "-")</f>
        <v>-</v>
      </c>
      <c r="C20" s="54" t="str">
        <f>IF($C$5="так",Коеф.!F13,IF($C$5="ні","-",IF($C$5="-","-")))</f>
        <v>-</v>
      </c>
      <c r="D20" s="19" t="str">
        <f>IFERROR(IF(E20="-", "-", IF(ISNUMBER(E20), ROUND($E$5*E20, 2))), "-")</f>
        <v>-</v>
      </c>
      <c r="E20" s="54" t="str">
        <f>IF($C$5="так",Коеф.!K13,IF($C$5="ні","-",IF($C$5="-","-")))</f>
        <v>-</v>
      </c>
      <c r="F20" s="19" t="str">
        <f>IFERROR(IF(G20="-", "-", IF(ISNUMBER(G20), ROUND($E$5*G20, 2))), "-")</f>
        <v>-</v>
      </c>
      <c r="G20" s="54" t="str">
        <f>IF($C$5="так",Коеф.!P13,IF($C$5="ні","-",IF($C$5="-","-")))</f>
        <v>-</v>
      </c>
      <c r="H20" s="19" t="str">
        <f>IFERROR(IF(I20="-", "-", IF(ISNUMBER(I20), ROUND($E$5*I20, 2))), "-")</f>
        <v>-</v>
      </c>
      <c r="I20" s="54" t="str">
        <f>IF($C$5="так",Коеф.!U13,IF($C$5="ні","-",IF($C$5="-","-")))</f>
        <v>-</v>
      </c>
    </row>
    <row r="21" spans="1:9" ht="17.45" customHeight="1">
      <c r="A21" s="18" t="s">
        <v>11</v>
      </c>
      <c r="B21" s="19" t="str">
        <f>IFERROR(IF(C21="-", "-", IF(ISNUMBER(C21), ROUND($E$5*C21, 2))), "-")</f>
        <v>-</v>
      </c>
      <c r="C21" s="54" t="str">
        <f>IF($C$5="так",Коеф.!F14,IF($C$5="ні","-",IF($C$5="-","-")))</f>
        <v>-</v>
      </c>
      <c r="D21" s="19" t="str">
        <f>IFERROR(IF(E21="-", "-", IF(ISNUMBER(E21), ROUND($E$5*E21, 2))), "-")</f>
        <v>-</v>
      </c>
      <c r="E21" s="54" t="str">
        <f>IF($C$5="так",Коеф.!K14,IF($C$5="ні","-",IF($C$5="-","-")))</f>
        <v>-</v>
      </c>
      <c r="F21" s="19" t="str">
        <f>IFERROR(IF(G21="-", "-", IF(ISNUMBER(G21), ROUND($E$5*G21, 2))), "-")</f>
        <v>-</v>
      </c>
      <c r="G21" s="54" t="str">
        <f>IF($C$5="так",Коеф.!P14,IF($C$5="ні","-",IF($C$5="-","-")))</f>
        <v>-</v>
      </c>
      <c r="H21" s="19" t="str">
        <f>IFERROR(IF(I21="-", "-", IF(ISNUMBER(I21), ROUND($E$5*I21, 2))), "-")</f>
        <v>-</v>
      </c>
      <c r="I21" s="54" t="str">
        <f>IF($C$5="так",Коеф.!U14,IF($C$5="ні","-",IF($C$5="-","-")))</f>
        <v>-</v>
      </c>
    </row>
    <row r="22" spans="1:9" ht="17.45" customHeight="1">
      <c r="A22" s="18" t="s">
        <v>6</v>
      </c>
      <c r="B22" s="19" t="str">
        <f>IFERROR(IF(C22="-", "-", IF(ISNUMBER(C22), ROUND($E$5*C22, 2))), "-")</f>
        <v>-</v>
      </c>
      <c r="C22" s="54" t="str">
        <f>IF($C$5="так",Коеф.!F15,IF($C$5="ні","-",IF($C$5="-","-")))</f>
        <v>-</v>
      </c>
      <c r="D22" s="19" t="str">
        <f>IFERROR(IF(E22="-", "-", IF(ISNUMBER(E22), ROUND($E$5*E22, 2))), "-")</f>
        <v>-</v>
      </c>
      <c r="E22" s="54" t="str">
        <f>IF($C$5="так",Коеф.!K15,IF($C$5="ні","-",IF($C$5="-","-")))</f>
        <v>-</v>
      </c>
      <c r="F22" s="19" t="str">
        <f>IFERROR(IF(G22="-", "-", IF(ISNUMBER(G22), ROUND($E$5*G22, 2))), "-")</f>
        <v>-</v>
      </c>
      <c r="G22" s="54" t="str">
        <f>IF($C$5="так",Коеф.!P15,IF($C$5="ні","-",IF($C$5="-","-")))</f>
        <v>-</v>
      </c>
      <c r="H22" s="19" t="str">
        <f>IFERROR(IF(I22="-", "-", IF(ISNUMBER(I22), ROUND($E$5*I22, 2))), "-")</f>
        <v>-</v>
      </c>
      <c r="I22" s="54" t="str">
        <f>IF($C$5="так",Коеф.!U15,IF($C$5="ні","-",IF($C$5="-","-")))</f>
        <v>-</v>
      </c>
    </row>
    <row r="23" spans="1:9" ht="17.45" customHeight="1" thickBot="1">
      <c r="A23" s="20" t="s">
        <v>12</v>
      </c>
      <c r="B23" s="19" t="str">
        <f>IFERROR(IF(C23="-", "-", IF(ISNUMBER(C23), ROUND($E$5*C23, 2))), "-")</f>
        <v>-</v>
      </c>
      <c r="C23" s="54" t="str">
        <f>IF($C$5="так",Коеф.!F16,IF($C$5="ні","-",IF($C$5="-","-")))</f>
        <v>-</v>
      </c>
      <c r="D23" s="19" t="str">
        <f>IFERROR(IF(E23="-", "-", IF(ISNUMBER(E23), ROUND($E$5*E23, 2))), "-")</f>
        <v>-</v>
      </c>
      <c r="E23" s="54" t="str">
        <f>IF($C$5="так",Коеф.!K16,IF($C$5="ні","-",IF($C$5="-","-")))</f>
        <v>-</v>
      </c>
      <c r="F23" s="19" t="str">
        <f>IFERROR(IF(G23="-", "-", IF(ISNUMBER(G23), ROUND($E$5*G23, 2))), "-")</f>
        <v>-</v>
      </c>
      <c r="G23" s="54" t="str">
        <f>IF($C$5="так",Коеф.!P16,IF($C$5="ні","-",IF($C$5="-","-")))</f>
        <v>-</v>
      </c>
      <c r="H23" s="19" t="str">
        <f>IFERROR(IF(I23="-", "-", IF(ISNUMBER(I23), ROUND($E$5*I23, 2))), "-")</f>
        <v>-</v>
      </c>
      <c r="I23" s="54" t="str">
        <f>IF($C$5="так",Коеф.!U16,IF($C$5="ні","-",IF($C$5="-","-")))</f>
        <v>-</v>
      </c>
    </row>
    <row r="24" spans="1:9" ht="60.6" customHeight="1" thickBot="1">
      <c r="A24" s="25" t="s">
        <v>80</v>
      </c>
      <c r="B24" s="59" t="str">
        <f>IFERROR(IF(C24="-", "-", IF(ISNUMBER(C24), ROUND($E$6*C24, 2))), "-")</f>
        <v>-</v>
      </c>
      <c r="C24" s="58" t="str">
        <f>IF($C$6="так",Коеф.!F17,IF($C$6="ні","-",IF($C$6="-","-")))</f>
        <v>-</v>
      </c>
      <c r="D24" s="59" t="str">
        <f>IFERROR(IF(E24="-", "-", IF(ISNUMBER(E24), ROUND($E$6*E24, 2))), "-")</f>
        <v>-</v>
      </c>
      <c r="E24" s="58" t="str">
        <f>IF($C$6="так",Коеф.!K17,IF($C$6="ні","-",IF($C$6="-","-")))</f>
        <v>-</v>
      </c>
      <c r="F24" s="59" t="str">
        <f>IFERROR(IF(G24="-", "-", IF(ISNUMBER(G24), ROUND($E$6*G24, 2))), "-")</f>
        <v>-</v>
      </c>
      <c r="G24" s="58" t="str">
        <f>IF($C$6="так",Коеф.!P17,IF($C$6="ні","-",IF($C$6="-","-")))</f>
        <v>-</v>
      </c>
      <c r="H24" s="59" t="str">
        <f>IFERROR(IF(I24="-", "-", IF(ISNUMBER(I24), ROUND($E$6*I24, 2))), "-")</f>
        <v>-</v>
      </c>
      <c r="I24" s="58" t="str">
        <f>IF($C$6="так",Коеф.!U17,IF($C$6="ні","-",IF($C$6="-","-")))</f>
        <v>-</v>
      </c>
    </row>
    <row r="25" spans="1:9" ht="16.5" thickBot="1">
      <c r="A25" s="143"/>
      <c r="B25" s="144"/>
      <c r="C25" s="144"/>
      <c r="D25" s="144"/>
      <c r="E25" s="144"/>
      <c r="F25" s="144"/>
      <c r="G25" s="144"/>
      <c r="H25" s="144"/>
      <c r="I25" s="145"/>
    </row>
    <row r="26" spans="1:9" ht="54.6" customHeight="1" thickBot="1">
      <c r="A26" s="26" t="s">
        <v>81</v>
      </c>
      <c r="B26" s="27"/>
      <c r="C26" s="28"/>
      <c r="D26" s="27"/>
      <c r="E26" s="28"/>
      <c r="F26" s="27"/>
      <c r="G26" s="28"/>
      <c r="H26" s="27"/>
      <c r="I26" s="28"/>
    </row>
    <row r="27" spans="1:9" ht="16.5" thickBot="1">
      <c r="A27" s="230" t="s">
        <v>13</v>
      </c>
      <c r="B27" s="231"/>
      <c r="C27" s="231"/>
      <c r="D27" s="231"/>
      <c r="E27" s="231"/>
      <c r="F27" s="231"/>
      <c r="G27" s="231"/>
      <c r="H27" s="231"/>
      <c r="I27" s="232"/>
    </row>
    <row r="28" spans="1:9" ht="18.600000000000001" customHeight="1">
      <c r="A28" s="29" t="s">
        <v>14</v>
      </c>
      <c r="B28" s="30" t="str">
        <f>IFERROR(IF(C28="-", "-", IF(ISNUMBER(C28), ROUND($E$7*C28, 2))), "-")</f>
        <v>-</v>
      </c>
      <c r="C28" s="37" t="str">
        <f>IF($C$7="так",Коеф.!F21,IF($C$7="ні","-",IF($C$7="-","-")))</f>
        <v>-</v>
      </c>
      <c r="D28" s="30" t="str">
        <f>IFERROR(IF(E28="-", "-", IF(ISNUMBER(E28), ROUND($E$7*E28, 2))), "-")</f>
        <v>-</v>
      </c>
      <c r="E28" s="37" t="str">
        <f>IF($C$7="так",Коеф.!K21,IF($C$7="ні","-",IF($C$7="-","-")))</f>
        <v>-</v>
      </c>
      <c r="F28" s="30" t="str">
        <f>IFERROR(IF(G28="-", "-", IF(ISNUMBER(G28), ROUND($E$7*G28, 2))), "-")</f>
        <v>-</v>
      </c>
      <c r="G28" s="37" t="str">
        <f>IF($C$7="так",Коеф.!P21,IF($C$7="ні","-",IF($C$7="-","-")))</f>
        <v>-</v>
      </c>
      <c r="H28" s="30" t="str">
        <f>IFERROR(IF(I28="-", "-", IF(ISNUMBER(I28), ROUND($E$7*I28, 2))), "-")</f>
        <v>-</v>
      </c>
      <c r="I28" s="37" t="str">
        <f>IF($C$7="так",Коеф.!U21,IF($C$7="ні","-",IF($C$7="-","-")))</f>
        <v>-</v>
      </c>
    </row>
    <row r="29" spans="1:9" ht="18.600000000000001" customHeight="1">
      <c r="A29" s="31" t="s">
        <v>15</v>
      </c>
      <c r="B29" s="19" t="str">
        <f>IFERROR(IF(C29="-", "-", IF(ISNUMBER(C29), ROUND($E$7*C29, 2))), "-")</f>
        <v>-</v>
      </c>
      <c r="C29" s="34" t="str">
        <f>IF($C$7="так",Коеф.!F22,IF($C$7="ні","-",IF($C$7="-","-")))</f>
        <v>-</v>
      </c>
      <c r="D29" s="19" t="str">
        <f>IFERROR(IF(E29="-", "-", IF(ISNUMBER(E29), ROUND($E$7*E29, 2))), "-")</f>
        <v>-</v>
      </c>
      <c r="E29" s="34" t="str">
        <f>IF($C$7="так",Коеф.!K22,IF($C$7="ні","-",IF($C$7="-","-")))</f>
        <v>-</v>
      </c>
      <c r="F29" s="19" t="str">
        <f>IFERROR(IF(G29="-", "-", IF(ISNUMBER(G29), ROUND($E$7*G29, 2))), "-")</f>
        <v>-</v>
      </c>
      <c r="G29" s="34" t="str">
        <f>IF($C$7="так",Коеф.!P22,IF($C$7="ні","-",IF($C$7="-","-")))</f>
        <v>-</v>
      </c>
      <c r="H29" s="19" t="str">
        <f>IFERROR(IF(I29="-", "-", IF(ISNUMBER(I29), ROUND($E$7*I29, 2))), "-")</f>
        <v>-</v>
      </c>
      <c r="I29" s="34" t="str">
        <f>IF($C$7="так",Коеф.!U22,IF($C$7="ні","-",IF($C$7="-","-")))</f>
        <v>-</v>
      </c>
    </row>
    <row r="30" spans="1:9" ht="18.600000000000001" customHeight="1" thickBot="1">
      <c r="A30" s="32" t="s">
        <v>16</v>
      </c>
      <c r="B30" s="33" t="str">
        <f>IFERROR(IF(C30="-", "-", IF(ISNUMBER(C30), ROUND($E$7*C30, 2))), "-")</f>
        <v>-</v>
      </c>
      <c r="C30" s="38" t="str">
        <f>IF($C$7="так",Коеф.!F23,IF($C$7="ні","-",IF($C$7="-","-")))</f>
        <v>-</v>
      </c>
      <c r="D30" s="33" t="str">
        <f>IFERROR(IF(E30="-", "-", IF(ISNUMBER(E30), ROUND($E$7*E30, 2))), "-")</f>
        <v>-</v>
      </c>
      <c r="E30" s="38" t="str">
        <f>IF($C$7="так",Коеф.!K23,IF($C$7="ні","-",IF($C$7="-","-")))</f>
        <v>-</v>
      </c>
      <c r="F30" s="33" t="str">
        <f>IFERROR(IF(G30="-", "-", IF(ISNUMBER(G30), ROUND($E$7*G30, 2))), "-")</f>
        <v>-</v>
      </c>
      <c r="G30" s="38" t="str">
        <f>IF($C$7="так",Коеф.!P23,IF($C$7="ні","-",IF($C$7="-","-")))</f>
        <v>-</v>
      </c>
      <c r="H30" s="33" t="str">
        <f>IFERROR(IF(I30="-", "-", IF(ISNUMBER(I30), ROUND($E$7*I30, 2))), "-")</f>
        <v>-</v>
      </c>
      <c r="I30" s="38" t="str">
        <f>IF($C$7="так",Коеф.!U23,IF($C$7="ні","-",IF($C$7="-","-")))</f>
        <v>-</v>
      </c>
    </row>
    <row r="31" spans="1:9" ht="16.5" thickBot="1">
      <c r="A31" s="230" t="s">
        <v>17</v>
      </c>
      <c r="B31" s="231"/>
      <c r="C31" s="231"/>
      <c r="D31" s="231"/>
      <c r="E31" s="231"/>
      <c r="F31" s="231"/>
      <c r="G31" s="231"/>
      <c r="H31" s="231"/>
      <c r="I31" s="232"/>
    </row>
    <row r="32" spans="1:9" ht="18.600000000000001" customHeight="1">
      <c r="A32" s="29" t="s">
        <v>18</v>
      </c>
      <c r="B32" s="30" t="str">
        <f>IFERROR(IF(C32="-", "-", IF(ISNUMBER(C32), ROUND($E$7*C32, 2))), "-")</f>
        <v>-</v>
      </c>
      <c r="C32" s="37" t="str">
        <f>IF($C$7="так",Коеф.!F25,IF($C$7="ні","-",IF($C$7="-","-")))</f>
        <v>-</v>
      </c>
      <c r="D32" s="30" t="str">
        <f>IFERROR(IF(E32="-", "-", IF(ISNUMBER(E32), ROUND($E$7*E32, 2))), "-")</f>
        <v>-</v>
      </c>
      <c r="E32" s="37" t="str">
        <f>IF($C$7="так",Коеф.!K25,IF($C$7="ні","-",IF($C$7="-","-")))</f>
        <v>-</v>
      </c>
      <c r="F32" s="30" t="str">
        <f>IFERROR(IF(G32="-", "-", IF(ISNUMBER(G32), ROUND($E$7*G32, 2))), "-")</f>
        <v>-</v>
      </c>
      <c r="G32" s="37" t="str">
        <f>IF($C$7="так",Коеф.!P25,IF($C$7="ні","-",IF($C$7="-","-")))</f>
        <v>-</v>
      </c>
      <c r="H32" s="30" t="str">
        <f>IFERROR(IF(I32="-", "-", IF(ISNUMBER(I32), ROUND($E$7*I32, 2))), "-")</f>
        <v>-</v>
      </c>
      <c r="I32" s="37" t="str">
        <f>IF($C$7="так",Коеф.!U25,IF($C$7="ні","-",IF($C$7="-","-")))</f>
        <v>-</v>
      </c>
    </row>
    <row r="33" spans="1:9" ht="18.600000000000001" customHeight="1">
      <c r="A33" s="31" t="s">
        <v>19</v>
      </c>
      <c r="B33" s="19" t="str">
        <f>IFERROR(IF(C33="-", "-", IF(ISNUMBER(C33), ROUND($E$7*C33, 2))), "-")</f>
        <v>-</v>
      </c>
      <c r="C33" s="34" t="str">
        <f>IF($C$7="так",Коеф.!F26,IF($C$7="ні","-",IF($C$7="-","-")))</f>
        <v>-</v>
      </c>
      <c r="D33" s="19" t="str">
        <f>IFERROR(IF(E33="-", "-", IF(ISNUMBER(E33), ROUND($E$7*E33, 2))), "-")</f>
        <v>-</v>
      </c>
      <c r="E33" s="34" t="str">
        <f>IF($C$7="так",Коеф.!K26,IF($C$7="ні","-",IF($C$7="-","-")))</f>
        <v>-</v>
      </c>
      <c r="F33" s="19" t="str">
        <f>IFERROR(IF(G33="-", "-", IF(ISNUMBER(G33), ROUND($E$7*G33, 2))), "-")</f>
        <v>-</v>
      </c>
      <c r="G33" s="34" t="str">
        <f>IF($C$7="так",Коеф.!P26,IF($C$7="ні","-",IF($C$7="-","-")))</f>
        <v>-</v>
      </c>
      <c r="H33" s="19" t="str">
        <f>IFERROR(IF(I33="-", "-", IF(ISNUMBER(I33), ROUND($E$7*I33, 2))), "-")</f>
        <v>-</v>
      </c>
      <c r="I33" s="34" t="str">
        <f>IF($C$7="так",Коеф.!U26,IF($C$7="ні","-",IF($C$7="-","-")))</f>
        <v>-</v>
      </c>
    </row>
    <row r="34" spans="1:9" ht="18.600000000000001" customHeight="1" thickBot="1">
      <c r="A34" s="32" t="s">
        <v>20</v>
      </c>
      <c r="B34" s="33" t="str">
        <f>IFERROR(IF(C34="-", "-", IF(ISNUMBER(C34), ROUND($E$7*C34, 2))), "-")</f>
        <v>-</v>
      </c>
      <c r="C34" s="38" t="str">
        <f>IF($C$7="так",Коеф.!F27,IF($C$7="ні","-",IF($C$7="-","-")))</f>
        <v>-</v>
      </c>
      <c r="D34" s="33" t="str">
        <f>IFERROR(IF(E34="-", "-", IF(ISNUMBER(E34), ROUND($E$7*E34, 2))), "-")</f>
        <v>-</v>
      </c>
      <c r="E34" s="38" t="str">
        <f>IF($C$7="так",Коеф.!K27,IF($C$7="ні","-",IF($C$7="-","-")))</f>
        <v>-</v>
      </c>
      <c r="F34" s="33" t="str">
        <f>IFERROR(IF(G34="-", "-", IF(ISNUMBER(G34), ROUND($E$7*G34, 2))), "-")</f>
        <v>-</v>
      </c>
      <c r="G34" s="38" t="str">
        <f>IF($C$7="так",Коеф.!P27,IF($C$7="ні","-",IF($C$7="-","-")))</f>
        <v>-</v>
      </c>
      <c r="H34" s="33" t="str">
        <f>IFERROR(IF(I34="-", "-", IF(ISNUMBER(I34), ROUND($E$7*I34, 2))), "-")</f>
        <v>-</v>
      </c>
      <c r="I34" s="38" t="str">
        <f>IF($C$7="так",Коеф.!U27,IF($C$7="ні","-",IF($C$7="-","-")))</f>
        <v>-</v>
      </c>
    </row>
    <row r="35" spans="1:9" ht="16.5" thickBot="1">
      <c r="A35" s="230" t="s">
        <v>21</v>
      </c>
      <c r="B35" s="231"/>
      <c r="C35" s="231"/>
      <c r="D35" s="231"/>
      <c r="E35" s="231"/>
      <c r="F35" s="231"/>
      <c r="G35" s="231"/>
      <c r="H35" s="231"/>
      <c r="I35" s="232"/>
    </row>
    <row r="36" spans="1:9" ht="18.600000000000001" customHeight="1">
      <c r="A36" s="29" t="s">
        <v>18</v>
      </c>
      <c r="B36" s="30" t="str">
        <f>IFERROR(IF(C36="-", "-", IF(ISNUMBER(C36), ROUND($E$7*C36, 2))), "-")</f>
        <v>-</v>
      </c>
      <c r="C36" s="37" t="str">
        <f>IF($C$7="так",Коеф.!F29,IF($C$7="ні","-",IF($C$7="-","-")))</f>
        <v>-</v>
      </c>
      <c r="D36" s="30" t="str">
        <f>IFERROR(IF(E36="-", "-", IF(ISNUMBER(E36), ROUND($E$7*E36, 2))), "-")</f>
        <v>-</v>
      </c>
      <c r="E36" s="37" t="str">
        <f>IF($C$7="так",Коеф.!K29,IF($C$7="ні","-",IF($C$7="-","-")))</f>
        <v>-</v>
      </c>
      <c r="F36" s="30" t="str">
        <f>IFERROR(IF(G36="-", "-", IF(ISNUMBER(G36), ROUND($E$7*G36, 2))), "-")</f>
        <v>-</v>
      </c>
      <c r="G36" s="37" t="str">
        <f>IF($C$7="так",Коеф.!P29,IF($C$7="ні","-",IF($C$7="-","-")))</f>
        <v>-</v>
      </c>
      <c r="H36" s="30" t="str">
        <f>IFERROR(IF(I36="-", "-", IF(ISNUMBER(I36), ROUND($E$7*I36, 2))), "-")</f>
        <v>-</v>
      </c>
      <c r="I36" s="37" t="str">
        <f>IF($C$7="так",Коеф.!U29,IF($C$7="ні","-",IF($C$7="-","-")))</f>
        <v>-</v>
      </c>
    </row>
    <row r="37" spans="1:9" ht="18.600000000000001" customHeight="1">
      <c r="A37" s="31" t="s">
        <v>19</v>
      </c>
      <c r="B37" s="19" t="str">
        <f>IFERROR(IF(C37="-", "-", IF(ISNUMBER(C37), ROUND($E$7*C37, 2))), "-")</f>
        <v>-</v>
      </c>
      <c r="C37" s="34" t="str">
        <f>IF($C$7="так",Коеф.!F30,IF($C$7="ні","-",IF($C$7="-","-")))</f>
        <v>-</v>
      </c>
      <c r="D37" s="19" t="str">
        <f>IFERROR(IF(E37="-", "-", IF(ISNUMBER(E37), ROUND($E$7*E37, 2))), "-")</f>
        <v>-</v>
      </c>
      <c r="E37" s="34" t="str">
        <f>IF($C$7="так",Коеф.!K30,IF($C$7="ні","-",IF($C$7="-","-")))</f>
        <v>-</v>
      </c>
      <c r="F37" s="19" t="str">
        <f>IFERROR(IF(G37="-", "-", IF(ISNUMBER(G37), ROUND($E$7*G37, 2))), "-")</f>
        <v>-</v>
      </c>
      <c r="G37" s="34" t="str">
        <f>IF($C$7="так",Коеф.!P30,IF($C$7="ні","-",IF($C$7="-","-")))</f>
        <v>-</v>
      </c>
      <c r="H37" s="19" t="str">
        <f>IFERROR(IF(I37="-", "-", IF(ISNUMBER(I37), ROUND($E$7*I37, 2))), "-")</f>
        <v>-</v>
      </c>
      <c r="I37" s="34" t="str">
        <f>IF($C$7="так",Коеф.!U30,IF($C$7="ні","-",IF($C$7="-","-")))</f>
        <v>-</v>
      </c>
    </row>
    <row r="38" spans="1:9" ht="18.600000000000001" customHeight="1" thickBot="1">
      <c r="A38" s="32" t="s">
        <v>20</v>
      </c>
      <c r="B38" s="33" t="str">
        <f>IFERROR(IF(C38="-", "-", IF(ISNUMBER(C38), ROUND($E$7*C38, 2))), "-")</f>
        <v>-</v>
      </c>
      <c r="C38" s="38" t="str">
        <f>IF($C$7="так",Коеф.!F31,IF($C$7="ні","-",IF($C$7="-","-")))</f>
        <v>-</v>
      </c>
      <c r="D38" s="33" t="str">
        <f>IFERROR(IF(E38="-", "-", IF(ISNUMBER(E38), ROUND($E$7*E38, 2))), "-")</f>
        <v>-</v>
      </c>
      <c r="E38" s="38" t="str">
        <f>IF($C$7="так",Коеф.!K31,IF($C$7="ні","-",IF($C$7="-","-")))</f>
        <v>-</v>
      </c>
      <c r="F38" s="33" t="str">
        <f>IFERROR(IF(G38="-", "-", IF(ISNUMBER(G38), ROUND($E$7*G38, 2))), "-")</f>
        <v>-</v>
      </c>
      <c r="G38" s="38" t="str">
        <f>IF($C$7="так",Коеф.!P31,IF($C$7="ні","-",IF($C$7="-","-")))</f>
        <v>-</v>
      </c>
      <c r="H38" s="33" t="str">
        <f>IFERROR(IF(I38="-", "-", IF(ISNUMBER(I38), ROUND($E$7*I38, 2))), "-")</f>
        <v>-</v>
      </c>
      <c r="I38" s="38" t="str">
        <f>IF($C$7="так",Коеф.!U31,IF($C$7="ні","-",IF($C$7="-","-")))</f>
        <v>-</v>
      </c>
    </row>
    <row r="39" spans="1:9" ht="5.65" customHeight="1">
      <c r="A39" s="146"/>
      <c r="B39" s="147"/>
      <c r="C39" s="147"/>
      <c r="D39" s="147"/>
      <c r="E39" s="147"/>
      <c r="F39" s="147"/>
      <c r="G39" s="147"/>
      <c r="H39" s="147"/>
      <c r="I39" s="147"/>
    </row>
    <row r="40" spans="1:9" ht="9.6" customHeight="1">
      <c r="A40" s="39"/>
      <c r="B40" s="39"/>
      <c r="C40" s="39"/>
      <c r="D40" s="39"/>
      <c r="E40" s="39"/>
      <c r="F40" s="39"/>
      <c r="G40" s="39"/>
      <c r="H40" s="39"/>
      <c r="I40" s="39"/>
    </row>
    <row r="41" spans="1:9" ht="16.5" thickBot="1">
      <c r="A41" s="148" t="s">
        <v>56</v>
      </c>
      <c r="B41" s="149"/>
      <c r="C41" s="149"/>
      <c r="D41" s="39"/>
      <c r="E41" s="39"/>
      <c r="F41" s="39"/>
      <c r="G41" s="39"/>
      <c r="H41" s="39"/>
      <c r="I41" s="39"/>
    </row>
    <row r="42" spans="1:9" ht="35.450000000000003" customHeight="1" thickBot="1">
      <c r="A42" s="150" t="s">
        <v>57</v>
      </c>
      <c r="B42" s="151" t="s">
        <v>58</v>
      </c>
      <c r="C42" s="151" t="s">
        <v>59</v>
      </c>
      <c r="D42" s="39"/>
      <c r="E42" s="39"/>
      <c r="F42" s="39"/>
      <c r="G42" s="39"/>
      <c r="H42" s="39"/>
      <c r="I42" s="39"/>
    </row>
    <row r="43" spans="1:9" ht="18.600000000000001" customHeight="1" thickBot="1">
      <c r="A43" s="152" t="s">
        <v>60</v>
      </c>
      <c r="B43" s="153">
        <v>1</v>
      </c>
      <c r="C43" s="153">
        <v>0.9</v>
      </c>
      <c r="D43" s="39"/>
      <c r="E43" s="39"/>
      <c r="F43" s="39"/>
      <c r="G43" s="39"/>
      <c r="H43" s="39"/>
      <c r="I43" s="39"/>
    </row>
    <row r="44" spans="1:9" ht="18.600000000000001" customHeight="1">
      <c r="A44" s="152" t="s">
        <v>61</v>
      </c>
      <c r="B44" s="153">
        <v>1</v>
      </c>
      <c r="C44" s="153">
        <v>0.8</v>
      </c>
      <c r="D44" s="39"/>
      <c r="E44" s="39"/>
      <c r="F44" s="39"/>
      <c r="G44" s="39"/>
      <c r="H44" s="39"/>
      <c r="I44" s="39"/>
    </row>
    <row r="45" spans="1:9">
      <c r="A45" s="39"/>
      <c r="B45" s="39"/>
      <c r="C45" s="39"/>
      <c r="D45" s="39"/>
      <c r="E45" s="39"/>
      <c r="F45" s="39"/>
      <c r="G45" s="39"/>
      <c r="H45" s="39"/>
      <c r="I45" s="39"/>
    </row>
    <row r="46" spans="1:9" ht="27.6" customHeight="1">
      <c r="G46" s="169" t="s">
        <v>83</v>
      </c>
      <c r="H46" s="170" t="s">
        <v>86</v>
      </c>
      <c r="I46" s="168"/>
    </row>
  </sheetData>
  <sheetProtection algorithmName="SHA-512" hashValue="K+dUpkoxFF4ZgAa3378Xjfrxv1e1RHMccIcRP3EIJbY6ItYmq6Y/IQyAlwlYBK+KJe7EO5jOyOiv90HksEB+ZQ==" saltValue="fDZal18o5jVvzGaT6G38MA==" spinCount="100000" sheet="1" objects="1" scenarios="1" selectLockedCells="1"/>
  <mergeCells count="11">
    <mergeCell ref="A1:I1"/>
    <mergeCell ref="A10:I10"/>
    <mergeCell ref="I3:I7"/>
    <mergeCell ref="A31:I31"/>
    <mergeCell ref="A35:I35"/>
    <mergeCell ref="A11:A12"/>
    <mergeCell ref="B12:E12"/>
    <mergeCell ref="F12:I12"/>
    <mergeCell ref="A27:I27"/>
    <mergeCell ref="B3:B7"/>
    <mergeCell ref="H3:H7"/>
  </mergeCells>
  <conditionalFormatting sqref="B8">
    <cfRule type="containsText" dxfId="8" priority="13" operator="containsText" text="ні">
      <formula>NOT(ISERROR(SEARCH("ні",B8)))</formula>
    </cfRule>
    <cfRule type="containsText" dxfId="7" priority="14" operator="containsText" text="так">
      <formula>NOT(ISERROR(SEARCH("так",B8)))</formula>
    </cfRule>
  </conditionalFormatting>
  <conditionalFormatting sqref="B14:B18">
    <cfRule type="expression" dxfId="6" priority="9">
      <formula>ISNUMBER(B14)</formula>
    </cfRule>
  </conditionalFormatting>
  <conditionalFormatting sqref="B20:B24 D20:D24 F20:F24 H20:H24">
    <cfRule type="expression" dxfId="5" priority="5">
      <formula>ISNUMBER(B20)</formula>
    </cfRule>
  </conditionalFormatting>
  <conditionalFormatting sqref="B28:B30 D28:D30 F28:F30 H28:H30 B32:B34 D32:D34 F32:F34 H32:H34 B36:B38 D36:D38 F36:F38 H36:H38">
    <cfRule type="expression" dxfId="4" priority="6">
      <formula>ISNUMBER(B28)</formula>
    </cfRule>
  </conditionalFormatting>
  <conditionalFormatting sqref="D14:D18">
    <cfRule type="expression" dxfId="3" priority="3">
      <formula>ISNUMBER(D14)</formula>
    </cfRule>
  </conditionalFormatting>
  <conditionalFormatting sqref="F14:F18">
    <cfRule type="expression" dxfId="2" priority="2">
      <formula>ISNUMBER(F14)</formula>
    </cfRule>
  </conditionalFormatting>
  <conditionalFormatting sqref="H14:H18">
    <cfRule type="expression" dxfId="1" priority="1">
      <formula>ISNUMBER(H14)</formula>
    </cfRule>
  </conditionalFormatting>
  <conditionalFormatting sqref="I3:I7">
    <cfRule type="expression" dxfId="0" priority="4">
      <formula>$I$3&gt;$H$3</formula>
    </cfRule>
  </conditionalFormatting>
  <dataValidations count="1">
    <dataValidation type="list" allowBlank="1" showInputMessage="1" showErrorMessage="1" sqref="B8">
      <formula1>$M$3:$M$5</formula1>
    </dataValidation>
  </dataValidations>
  <pageMargins left="0.25" right="0.25" top="0.75" bottom="0.75" header="0.3" footer="0.3"/>
  <pageSetup paperSize="9" scale="52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ОВ!$B$34:$B$44</xm:f>
          </x14:formula1>
          <xm:sqref>B3:B7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ОВ</vt:lpstr>
      <vt:lpstr>Коеф.</vt:lpstr>
      <vt:lpstr>Сітка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Івашкін Сергій</dc:creator>
  <cp:lastModifiedBy>lebed</cp:lastModifiedBy>
  <cp:lastPrinted>2025-10-29T06:39:32Z</cp:lastPrinted>
  <dcterms:created xsi:type="dcterms:W3CDTF">2025-08-21T19:27:54Z</dcterms:created>
  <dcterms:modified xsi:type="dcterms:W3CDTF">2026-06-01T08:36:38Z</dcterms:modified>
</cp:coreProperties>
</file>