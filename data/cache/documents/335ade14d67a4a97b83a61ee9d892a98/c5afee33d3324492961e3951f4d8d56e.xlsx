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laNE\Desktop\ПЕРЕВЕЗЕННЯ 2026\КОРСУНЬ 2\"/>
    </mc:Choice>
  </mc:AlternateContent>
  <xr:revisionPtr revIDLastSave="0" documentId="13_ncr:1_{365BD66D-3273-4A84-9985-DE2D8BD98C2C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Калькуляція ТД" sheetId="6" r:id="rId1"/>
    <sheet name="Калькуляція Договір 2" sheetId="8" state="hidden" r:id="rId2"/>
  </sheets>
  <definedNames>
    <definedName name="_xlnm.Print_Area" localSheetId="1">'Калькуляція Договір 2'!$A$1:$F$63</definedName>
    <definedName name="_xlnm.Print_Area" localSheetId="0">'Калькуляція ТД'!$A$1:$F$56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" i="6" l="1"/>
  <c r="A5" i="8" l="1"/>
  <c r="C50" i="8"/>
  <c r="C7" i="8"/>
  <c r="C30" i="8"/>
  <c r="C14" i="8"/>
  <c r="C12" i="8"/>
  <c r="C11" i="8"/>
  <c r="E9" i="6"/>
  <c r="E11" i="8" s="1"/>
  <c r="E10" i="6"/>
  <c r="E12" i="8" s="1"/>
  <c r="E12" i="6"/>
  <c r="E14" i="8" s="1"/>
  <c r="E13" i="6"/>
  <c r="E15" i="8" s="1"/>
  <c r="E14" i="6"/>
  <c r="E16" i="8" s="1"/>
  <c r="E15" i="6"/>
  <c r="E17" i="8" s="1"/>
  <c r="E16" i="6"/>
  <c r="E18" i="8" s="1"/>
  <c r="E17" i="6"/>
  <c r="E19" i="8" s="1"/>
  <c r="E18" i="6"/>
  <c r="E20" i="8" s="1"/>
  <c r="E19" i="6"/>
  <c r="E21" i="8" s="1"/>
  <c r="E20" i="6"/>
  <c r="E22" i="8" s="1"/>
  <c r="E21" i="6"/>
  <c r="E23" i="8" s="1"/>
  <c r="E22" i="6"/>
  <c r="E24" i="8" s="1"/>
  <c r="E23" i="6"/>
  <c r="E25" i="8" s="1"/>
  <c r="E24" i="6"/>
  <c r="E26" i="8" s="1"/>
  <c r="E25" i="6"/>
  <c r="E27" i="8" s="1"/>
  <c r="E26" i="6"/>
  <c r="E28" i="8" s="1"/>
  <c r="E28" i="6"/>
  <c r="E30" i="8" s="1"/>
  <c r="E29" i="6"/>
  <c r="E31" i="8" s="1"/>
  <c r="E30" i="6"/>
  <c r="E32" i="8" s="1"/>
  <c r="E31" i="6"/>
  <c r="E33" i="8" s="1"/>
  <c r="E32" i="6"/>
  <c r="E34" i="8" s="1"/>
  <c r="E33" i="6"/>
  <c r="E35" i="8" s="1"/>
  <c r="E34" i="6"/>
  <c r="E36" i="8" s="1"/>
  <c r="E35" i="6"/>
  <c r="E37" i="8" s="1"/>
  <c r="E36" i="6"/>
  <c r="E38" i="8" s="1"/>
  <c r="E37" i="6"/>
  <c r="E39" i="8" s="1"/>
  <c r="E38" i="6"/>
  <c r="E40" i="8" s="1"/>
  <c r="E39" i="6"/>
  <c r="E41" i="8" s="1"/>
  <c r="E40" i="6"/>
  <c r="E42" i="8" s="1"/>
  <c r="E41" i="6"/>
  <c r="E43" i="8" s="1"/>
  <c r="E42" i="6"/>
  <c r="E44" i="8" s="1"/>
  <c r="E43" i="6"/>
  <c r="E45" i="8" s="1"/>
  <c r="E44" i="6"/>
  <c r="E46" i="8" s="1"/>
  <c r="E45" i="6"/>
  <c r="E47" i="8" s="1"/>
  <c r="E47" i="6"/>
  <c r="F47" i="6" s="1"/>
  <c r="F14" i="8" l="1"/>
  <c r="E50" i="8"/>
  <c r="F50" i="8" s="1"/>
  <c r="F30" i="8"/>
  <c r="F11" i="8"/>
  <c r="F12" i="8"/>
  <c r="C55" i="8"/>
  <c r="F51" i="8" l="1"/>
  <c r="F52" i="8" l="1"/>
  <c r="F53" i="8" s="1"/>
  <c r="F28" i="6"/>
  <c r="F12" i="6"/>
  <c r="F10" i="6"/>
  <c r="F9" i="6"/>
  <c r="F49" i="6" l="1"/>
  <c r="F50" i="6" s="1"/>
  <c r="F51" i="6" l="1"/>
</calcChain>
</file>

<file path=xl/sharedStrings.xml><?xml version="1.0" encoding="utf-8"?>
<sst xmlns="http://schemas.openxmlformats.org/spreadsheetml/2006/main" count="169" uniqueCount="97">
  <si>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</si>
  <si>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</si>
  <si>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</si>
  <si>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</si>
  <si>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</si>
  <si>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</si>
  <si>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</si>
  <si>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</si>
  <si>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</si>
  <si>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</si>
  <si>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</si>
  <si>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</si>
  <si>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</si>
  <si>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</si>
  <si>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</si>
  <si>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</si>
  <si>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</si>
  <si>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</si>
  <si>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</si>
  <si>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</si>
  <si>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</si>
  <si>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</si>
  <si>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</si>
  <si>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</si>
  <si>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</si>
  <si>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</si>
  <si>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</si>
  <si>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</si>
  <si>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</si>
  <si>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</si>
  <si>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</si>
  <si>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</si>
  <si>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</si>
  <si>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до 4 км (включно)</t>
  </si>
  <si>
    <t>від 5 до 9 км (включно)</t>
  </si>
  <si>
    <t>від 10 до 14 км (включно)</t>
  </si>
  <si>
    <t>від 15 до 19 км (включно)</t>
  </si>
  <si>
    <t>від 20 до 24 км (включно)</t>
  </si>
  <si>
    <t>від 25 до 29 км (включно)</t>
  </si>
  <si>
    <t>від 30 до 34 км (включно)</t>
  </si>
  <si>
    <t>від 35 до 39 км (включно)</t>
  </si>
  <si>
    <t>від 40 до 44 км (включно)</t>
  </si>
  <si>
    <t>від 45 до 49 км (включно)</t>
  </si>
  <si>
    <t>від 50 до 54 км (включно)</t>
  </si>
  <si>
    <t>від 55 до 59 км (включно)</t>
  </si>
  <si>
    <t>від 60 до 64 км (включно)</t>
  </si>
  <si>
    <t>від 65 до 69 км (включно)</t>
  </si>
  <si>
    <t>від 70 до 74 км (включно)</t>
  </si>
  <si>
    <t>від 75 до 79 км (включно)</t>
  </si>
  <si>
    <t>від 80 до 84 км (включно)</t>
  </si>
  <si>
    <t>від 85 до 89 км (включно)</t>
  </si>
  <si>
    <t>Навантаження (перевантаження) деревини</t>
  </si>
  <si>
    <t>Розвантаження деревини</t>
  </si>
  <si>
    <t>Назва послуг</t>
  </si>
  <si>
    <r>
      <t>Об`єм, м</t>
    </r>
    <r>
      <rPr>
        <b/>
        <vertAlign val="superscript"/>
        <sz val="11"/>
        <color rgb="FF000000"/>
        <rFont val="Times New Roman"/>
        <family val="1"/>
        <charset val="204"/>
      </rPr>
      <t>3</t>
    </r>
  </si>
  <si>
    <t>№ з.п.</t>
  </si>
  <si>
    <t>Коефіцієнт</t>
  </si>
  <si>
    <r>
      <t>Ціна, грн/м</t>
    </r>
    <r>
      <rPr>
        <b/>
        <vertAlign val="superscript"/>
        <sz val="11"/>
        <color rgb="FF000000"/>
        <rFont val="Times New Roman"/>
        <family val="1"/>
        <charset val="204"/>
      </rPr>
      <t>3</t>
    </r>
    <r>
      <rPr>
        <b/>
        <sz val="11"/>
        <color rgb="FF000000"/>
        <rFont val="Times New Roman"/>
        <family val="1"/>
        <charset val="204"/>
      </rPr>
      <t xml:space="preserve"> без ПДВ</t>
    </r>
  </si>
  <si>
    <t>Вартість, грн без ПДВ</t>
  </si>
  <si>
    <t>ПДВ 20%, грн</t>
  </si>
  <si>
    <t>Разом, грн без ПДВ</t>
  </si>
  <si>
    <t>Разом, грн з ПДВ</t>
  </si>
  <si>
    <r>
      <t>Ціна, грн/м</t>
    </r>
    <r>
      <rPr>
        <b/>
        <vertAlign val="superscript"/>
        <sz val="11"/>
        <color rgb="FF000000"/>
        <rFont val="Times New Roman"/>
        <family val="1"/>
        <charset val="204"/>
      </rPr>
      <t>3</t>
    </r>
    <r>
      <rPr>
        <b/>
        <sz val="11"/>
        <color rgb="FF000000"/>
        <rFont val="Times New Roman"/>
        <family val="1"/>
        <charset val="204"/>
      </rPr>
      <t>*км, без ПДВ</t>
    </r>
  </si>
  <si>
    <t>до тендерної документації</t>
  </si>
  <si>
    <t>КАЛЬКУЛЯЦІЯ</t>
  </si>
  <si>
    <t>Учасник є платником ПДВ</t>
  </si>
  <si>
    <t>ні</t>
  </si>
  <si>
    <t>так</t>
  </si>
  <si>
    <t>Загальний обєм за лотом становить:</t>
  </si>
  <si>
    <t>В комірці C6 з випливаючого списку необхідно обрати варіант "так" якщо уччасник є платником ПДВ, і "Ні" якщо учасник не є платником ПДВ, в результаті автоматично підбиватиметься підсумкова сума з врахуванням ПДВ чи його відсутності</t>
  </si>
  <si>
    <t>Посада</t>
  </si>
  <si>
    <t>підпис</t>
  </si>
  <si>
    <t>ПІП</t>
  </si>
  <si>
    <r>
      <t xml:space="preserve">Вивезення деревини з лісосік по лісовим дорогам </t>
    </r>
    <r>
      <rPr>
        <sz val="12"/>
        <rFont val="Times New Roman"/>
        <family val="1"/>
        <charset val="204"/>
      </rPr>
      <t>(лісовою дорогою вважається маршрут, якщо не менше 2/3 його загальної протяжності відповідає характеристикам дороги спеціального призначення і класифікується як лісова дорога), за відстанню, км</t>
    </r>
  </si>
  <si>
    <r>
      <rPr>
        <b/>
        <sz val="12"/>
        <rFont val="Times New Roman"/>
        <family val="2"/>
        <charset val="204"/>
      </rPr>
      <t xml:space="preserve">Перевезення деревини з верхніх та проміжних складів по дорогам загального користування </t>
    </r>
    <r>
      <rPr>
        <sz val="12"/>
        <rFont val="Times New Roman"/>
        <family val="2"/>
        <charset val="204"/>
      </rPr>
      <t>(дорогою загального користування вважати маршрут, якщо не менше 2/3 його загальної протяжності відповідає вимогам, визначеним для доріг загального користування), за відстанню, км</t>
    </r>
  </si>
  <si>
    <r>
      <rPr>
        <b/>
        <sz val="12"/>
        <color rgb="FFFF0000"/>
        <rFont val="Times New Roman"/>
        <family val="1"/>
        <charset val="204"/>
      </rPr>
      <t>Перевезення деревини з верхніх та проміжних складів по дорогам загального користування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 xml:space="preserve">(дорогою загального користування вважати маршрут, якщо не менше 2/3 його загальної протяжності відповідає вимогам, визначеним для доріг загального користування) </t>
    </r>
    <r>
      <rPr>
        <sz val="12"/>
        <color rgb="FFFF0000"/>
        <rFont val="Times New Roman"/>
        <family val="1"/>
        <charset val="204"/>
      </rPr>
      <t>на відстань 90-300 км</t>
    </r>
  </si>
  <si>
    <t>ЗАМОВНИК</t>
  </si>
  <si>
    <t>Державне спеціалізоване господарське підприємство «Ліси України» - філія «Центральний лісовий офіс» ДП «Ліси України»</t>
  </si>
  <si>
    <t>Начальник управління з виробництва</t>
  </si>
  <si>
    <t>______________ Віктор ГЛАВАЦЬКИЙ</t>
  </si>
  <si>
    <t>ВИКОНАВЕЦЬ</t>
  </si>
  <si>
    <t>Додаток 2</t>
  </si>
  <si>
    <t>до договору від ____. ____ 20___ р</t>
  </si>
  <si>
    <t>№__________________________</t>
  </si>
  <si>
    <t>________________</t>
  </si>
  <si>
    <r>
      <t>Разом за лотом,м</t>
    </r>
    <r>
      <rPr>
        <b/>
        <vertAlign val="superscript"/>
        <sz val="11"/>
        <color theme="1"/>
        <rFont val="Times New Roman"/>
        <family val="1"/>
        <charset val="204"/>
      </rPr>
      <t>3</t>
    </r>
  </si>
  <si>
    <r>
      <rPr>
        <b/>
        <sz val="12"/>
        <rFont val="Times New Roman"/>
        <family val="1"/>
        <charset val="204"/>
      </rPr>
      <t xml:space="preserve">Перевезення деревини з верхніх та проміжних складів по дорогам загального користування </t>
    </r>
    <r>
      <rPr>
        <sz val="12"/>
        <rFont val="Times New Roman"/>
        <family val="1"/>
        <charset val="204"/>
      </rPr>
      <t xml:space="preserve">(дорогою загального користування вважати маршрут, якщо не менше 2/3 його загальної протяжності відповідає вимогам, визначеним для доріг загального користування) </t>
    </r>
    <r>
      <rPr>
        <b/>
        <sz val="12"/>
        <rFont val="Times New Roman"/>
        <family val="1"/>
        <charset val="204"/>
      </rPr>
      <t>на відстань від 90 км</t>
    </r>
  </si>
  <si>
    <r>
      <rPr>
        <b/>
        <sz val="12"/>
        <rFont val="Times New Roman"/>
        <family val="2"/>
        <charset val="204"/>
      </rPr>
      <t xml:space="preserve">Перевезення деревини з верхніх та проміжних складів по дорогам загального користування </t>
    </r>
    <r>
      <rPr>
        <sz val="12"/>
        <rFont val="Times New Roman"/>
        <family val="2"/>
        <charset val="204"/>
      </rPr>
      <t xml:space="preserve">(дорогою загального користування вважати маршрут, якщо не менше 2/3 його загальної протяжності відповідає вимогам, визначеним для доріг загального користування), </t>
    </r>
    <r>
      <rPr>
        <b/>
        <sz val="12"/>
        <rFont val="Times New Roman"/>
        <family val="1"/>
        <charset val="204"/>
      </rPr>
      <t>за відстанню, км</t>
    </r>
  </si>
  <si>
    <r>
      <t xml:space="preserve">Вивезення деревини з лісосік по лісовим дорогам </t>
    </r>
    <r>
      <rPr>
        <sz val="12"/>
        <rFont val="Times New Roman"/>
        <family val="1"/>
        <charset val="204"/>
      </rPr>
      <t xml:space="preserve">(лісовою дорогою вважається маршрут, якщо не менше 2/3 його загальної протяжності відповідає характеристикам дороги спеціального призначення і класифікується як лісова дорога), </t>
    </r>
    <r>
      <rPr>
        <b/>
        <sz val="12"/>
        <rFont val="Times New Roman"/>
        <family val="1"/>
        <charset val="204"/>
      </rPr>
      <t>за відстанню, км</t>
    </r>
  </si>
  <si>
    <r>
      <t>Коефіцієнт</t>
    </r>
    <r>
      <rPr>
        <b/>
        <vertAlign val="superscript"/>
        <sz val="11"/>
        <color rgb="FF000000"/>
        <rFont val="Times New Roman"/>
        <family val="1"/>
        <charset val="204"/>
      </rPr>
      <t>*</t>
    </r>
  </si>
  <si>
    <r>
      <t>Вартість, грн без ПДВ</t>
    </r>
    <r>
      <rPr>
        <b/>
        <vertAlign val="superscript"/>
        <sz val="11"/>
        <color rgb="FF000000"/>
        <rFont val="Times New Roman"/>
        <family val="1"/>
        <charset val="204"/>
      </rPr>
      <t>**</t>
    </r>
  </si>
  <si>
    <r>
      <t>Максимальна розцінка, яку може запропонувати Учасник, згідно якої проводитиметься розрахунок (калькуляція) щодо закупівлі (ціна на відстань перевезення від 85 до 89 км (включно) (коефіцієнт 1,000), грн/м</t>
    </r>
    <r>
      <rPr>
        <b/>
        <vertAlign val="superscript"/>
        <sz val="11"/>
        <rFont val="Times New Roman"/>
        <family val="1"/>
        <charset val="204"/>
      </rPr>
      <t>3</t>
    </r>
    <r>
      <rPr>
        <b/>
        <sz val="11"/>
        <rFont val="Times New Roman"/>
        <family val="1"/>
        <charset val="204"/>
      </rPr>
      <t>)</t>
    </r>
  </si>
  <si>
    <r>
      <rPr>
        <b/>
        <vertAlign val="superscript"/>
        <sz val="12"/>
        <rFont val="Times New Roman"/>
        <family val="1"/>
        <charset val="204"/>
      </rPr>
      <t>*</t>
    </r>
    <r>
      <rPr>
        <b/>
        <sz val="12"/>
        <rFont val="Times New Roman"/>
        <family val="1"/>
        <charset val="204"/>
      </rPr>
      <t>Коефіцієнти застосовуються Учасником для розрахунку розцінок в Калькуляції таким чином, щоб співвідношення цих розцінок дорівнювало співвідношенню їхніх коефіцієнтів, а загальна вартість за лотом не перевищувала цінової пропозиції Учасника</t>
    </r>
  </si>
  <si>
    <r>
      <rPr>
        <b/>
        <vertAlign val="superscript"/>
        <sz val="12"/>
        <color theme="1"/>
        <rFont val="Times New Roman"/>
        <family val="1"/>
        <charset val="204"/>
      </rPr>
      <t>**</t>
    </r>
    <r>
      <rPr>
        <b/>
        <sz val="12"/>
        <color theme="1"/>
        <rFont val="Times New Roman"/>
        <family val="1"/>
        <charset val="204"/>
      </rPr>
      <t>Загальна вартість розраховується: для п. 3 за розцінкою пп. 3.15; для п. 4 за розцінкою пп. 4.18; для п. 5 за відстанню 300 км.</t>
    </r>
  </si>
  <si>
    <t>Додаток 4</t>
  </si>
  <si>
    <r>
      <t>п. 1-4 табл. 2.3 – грн/м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; п. 5 табл. 2.3 – грн/м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*км</t>
    </r>
  </si>
  <si>
    <t xml:space="preserve">розрахунку цін та загальної вартості надання послуг з навантаження, розвантаження, вивезення та перевезення деревини, Корсунь-Шевченківське надлісництво, Черкаська область (філія «Центральний  лісовий офіс»)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</si>
</sst>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28" x14ac:knownFonts="1">
    <font>
      <sz val="12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b/>
      <sz val="11"/>
      <color rgb="FF000000"/>
      <name val="Times New Roman"/>
      <family val="2"/>
      <charset val="204"/>
    </font>
    <font>
      <b/>
      <sz val="11"/>
      <name val="Times New Roman"/>
      <family val="2"/>
      <charset val="204"/>
    </font>
    <font>
      <sz val="11"/>
      <name val="Times New Roman"/>
      <family val="2"/>
      <charset val="204"/>
    </font>
    <font>
      <b/>
      <sz val="11"/>
      <color rgb="FF000000"/>
      <name val="Times New Roman"/>
      <family val="1"/>
      <charset val="204"/>
    </font>
    <font>
      <b/>
      <vertAlign val="superscript"/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Times New Roman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Times New Roman"/>
      <family val="2"/>
      <charset val="204"/>
    </font>
    <font>
      <b/>
      <sz val="12"/>
      <name val="Times New Roman"/>
      <family val="2"/>
      <charset val="204"/>
    </font>
    <font>
      <b/>
      <sz val="12"/>
      <color rgb="FFFF0000"/>
      <name val="Times New Roman"/>
      <family val="1"/>
      <charset val="204"/>
    </font>
    <font>
      <b/>
      <sz val="12"/>
      <color theme="9" tint="-0.499984740745262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  <font>
      <vertAlign val="superscript"/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vertical="center"/>
    </xf>
    <xf numFmtId="1" fontId="5" fillId="0" borderId="1" xfId="0" applyNumberFormat="1" applyFont="1" applyBorder="1" applyAlignment="1">
      <alignment horizontal="center" vertical="center" shrinkToFit="1"/>
    </xf>
    <xf numFmtId="2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2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65" fontId="8" fillId="0" borderId="1" xfId="0" applyNumberFormat="1" applyFont="1" applyBorder="1" applyAlignment="1">
      <alignment horizontal="center" vertical="center"/>
    </xf>
    <xf numFmtId="0" fontId="11" fillId="2" borderId="0" xfId="0" applyFont="1" applyFill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/>
    <xf numFmtId="0" fontId="13" fillId="2" borderId="8" xfId="0" applyFont="1" applyFill="1" applyBorder="1"/>
    <xf numFmtId="0" fontId="11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 shrinkToFit="1"/>
    </xf>
    <xf numFmtId="49" fontId="3" fillId="4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2" fontId="7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8" fillId="4" borderId="3" xfId="0" applyFont="1" applyFill="1" applyBorder="1" applyAlignment="1">
      <alignment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1" fontId="11" fillId="0" borderId="2" xfId="0" applyNumberFormat="1" applyFont="1" applyBorder="1" applyAlignment="1">
      <alignment horizontal="center" vertical="center" shrinkToFit="1"/>
    </xf>
    <xf numFmtId="164" fontId="13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shrinkToFit="1"/>
    </xf>
    <xf numFmtId="164" fontId="13" fillId="0" borderId="2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shrinkToFit="1"/>
    </xf>
    <xf numFmtId="0" fontId="17" fillId="4" borderId="1" xfId="0" applyFont="1" applyFill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164" fontId="12" fillId="0" borderId="1" xfId="0" applyNumberFormat="1" applyFont="1" applyBorder="1" applyAlignment="1">
      <alignment horizontal="center" vertical="center" shrinkToFit="1"/>
    </xf>
    <xf numFmtId="2" fontId="1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49" fontId="18" fillId="0" borderId="25" xfId="0" applyNumberFormat="1" applyFont="1" applyBorder="1" applyAlignment="1">
      <alignment horizontal="center" vertical="center" wrapText="1"/>
    </xf>
    <xf numFmtId="2" fontId="7" fillId="0" borderId="26" xfId="0" applyNumberFormat="1" applyFont="1" applyBorder="1" applyAlignment="1">
      <alignment horizontal="center" vertical="center"/>
    </xf>
    <xf numFmtId="2" fontId="7" fillId="0" borderId="34" xfId="0" applyNumberFormat="1" applyFont="1" applyBorder="1" applyAlignment="1">
      <alignment horizontal="center" vertical="center"/>
    </xf>
    <xf numFmtId="2" fontId="7" fillId="0" borderId="24" xfId="0" applyNumberFormat="1" applyFont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 wrapText="1"/>
    </xf>
    <xf numFmtId="0" fontId="18" fillId="4" borderId="37" xfId="0" applyFont="1" applyFill="1" applyBorder="1" applyAlignment="1">
      <alignment vertical="center" wrapText="1"/>
    </xf>
    <xf numFmtId="1" fontId="5" fillId="0" borderId="38" xfId="0" applyNumberFormat="1" applyFont="1" applyBorder="1" applyAlignment="1">
      <alignment horizontal="center" vertical="center" shrinkToFit="1"/>
    </xf>
    <xf numFmtId="165" fontId="8" fillId="0" borderId="38" xfId="0" applyNumberFormat="1" applyFont="1" applyBorder="1" applyAlignment="1">
      <alignment horizontal="center" vertical="center"/>
    </xf>
    <xf numFmtId="2" fontId="8" fillId="0" borderId="38" xfId="0" applyNumberFormat="1" applyFont="1" applyBorder="1" applyAlignment="1">
      <alignment horizontal="center" vertical="center"/>
    </xf>
    <xf numFmtId="2" fontId="7" fillId="0" borderId="39" xfId="0" applyNumberFormat="1" applyFont="1" applyBorder="1" applyAlignment="1">
      <alignment horizontal="center" vertical="center" wrapText="1"/>
    </xf>
    <xf numFmtId="49" fontId="18" fillId="0" borderId="30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49" fontId="18" fillId="0" borderId="31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164" fontId="13" fillId="0" borderId="6" xfId="0" applyNumberFormat="1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49" fontId="3" fillId="4" borderId="36" xfId="0" applyNumberFormat="1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shrinkToFit="1"/>
    </xf>
    <xf numFmtId="0" fontId="17" fillId="4" borderId="2" xfId="0" applyFont="1" applyFill="1" applyBorder="1" applyAlignment="1">
      <alignment horizontal="left" vertical="center" wrapText="1"/>
    </xf>
    <xf numFmtId="164" fontId="12" fillId="0" borderId="2" xfId="0" applyNumberFormat="1" applyFont="1" applyBorder="1" applyAlignment="1">
      <alignment horizontal="center" vertical="center" shrinkToFit="1"/>
    </xf>
    <xf numFmtId="2" fontId="15" fillId="0" borderId="27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 wrapText="1" shrinkToFit="1"/>
    </xf>
    <xf numFmtId="0" fontId="11" fillId="4" borderId="31" xfId="0" applyFont="1" applyFill="1" applyBorder="1" applyAlignment="1">
      <alignment horizontal="center" vertical="center" shrinkToFit="1"/>
    </xf>
    <xf numFmtId="0" fontId="17" fillId="4" borderId="6" xfId="0" applyFont="1" applyFill="1" applyBorder="1" applyAlignment="1">
      <alignment horizontal="left" vertical="center" wrapText="1"/>
    </xf>
    <xf numFmtId="164" fontId="12" fillId="0" borderId="6" xfId="0" applyNumberFormat="1" applyFont="1" applyBorder="1" applyAlignment="1">
      <alignment horizontal="center" vertical="center" shrinkToFit="1"/>
    </xf>
    <xf numFmtId="2" fontId="15" fillId="0" borderId="29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18" fillId="0" borderId="0" xfId="0" applyFont="1"/>
    <xf numFmtId="0" fontId="15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 wrapText="1"/>
    </xf>
    <xf numFmtId="0" fontId="9" fillId="0" borderId="4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/>
    </xf>
    <xf numFmtId="0" fontId="17" fillId="0" borderId="0" xfId="0" applyFont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7" fillId="4" borderId="3" xfId="0" applyFont="1" applyFill="1" applyBorder="1" applyAlignment="1">
      <alignment horizontal="left" vertical="center" wrapText="1"/>
    </xf>
    <xf numFmtId="0" fontId="18" fillId="4" borderId="4" xfId="0" applyFont="1" applyFill="1" applyBorder="1" applyAlignment="1">
      <alignment horizontal="left" vertical="center" wrapText="1"/>
    </xf>
    <xf numFmtId="0" fontId="18" fillId="4" borderId="5" xfId="0" applyFont="1" applyFill="1" applyBorder="1" applyAlignment="1">
      <alignment horizontal="left" vertical="center" wrapText="1"/>
    </xf>
    <xf numFmtId="2" fontId="15" fillId="0" borderId="2" xfId="0" applyNumberFormat="1" applyFont="1" applyBorder="1" applyAlignment="1">
      <alignment horizontal="center" vertical="center"/>
    </xf>
    <xf numFmtId="2" fontId="15" fillId="0" borderId="7" xfId="0" applyNumberFormat="1" applyFont="1" applyBorder="1" applyAlignment="1">
      <alignment horizontal="center" vertical="center"/>
    </xf>
    <xf numFmtId="2" fontId="15" fillId="0" borderId="6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 shrinkToFit="1"/>
    </xf>
    <xf numFmtId="1" fontId="11" fillId="0" borderId="7" xfId="0" applyNumberFormat="1" applyFont="1" applyBorder="1" applyAlignment="1">
      <alignment horizontal="center" vertical="center" shrinkToFit="1"/>
    </xf>
    <xf numFmtId="1" fontId="11" fillId="0" borderId="6" xfId="0" applyNumberFormat="1" applyFont="1" applyBorder="1" applyAlignment="1">
      <alignment horizontal="center" vertical="center" shrinkToFit="1"/>
    </xf>
    <xf numFmtId="0" fontId="19" fillId="4" borderId="3" xfId="0" applyFont="1" applyFill="1" applyBorder="1" applyAlignment="1">
      <alignment horizontal="left" vertical="center" wrapText="1"/>
    </xf>
    <xf numFmtId="0" fontId="19" fillId="4" borderId="4" xfId="0" applyFont="1" applyFill="1" applyBorder="1" applyAlignment="1">
      <alignment horizontal="left" vertical="center" wrapText="1"/>
    </xf>
    <xf numFmtId="0" fontId="19" fillId="4" borderId="5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0" fontId="7" fillId="0" borderId="21" xfId="0" applyFont="1" applyBorder="1" applyAlignment="1">
      <alignment horizontal="right" vertical="center"/>
    </xf>
    <xf numFmtId="0" fontId="7" fillId="0" borderId="22" xfId="0" applyFont="1" applyBorder="1" applyAlignment="1">
      <alignment horizontal="right" vertical="center"/>
    </xf>
    <xf numFmtId="0" fontId="7" fillId="0" borderId="25" xfId="0" applyFont="1" applyBorder="1" applyAlignment="1">
      <alignment horizontal="right" vertical="center"/>
    </xf>
    <xf numFmtId="0" fontId="7" fillId="0" borderId="32" xfId="0" applyFont="1" applyBorder="1" applyAlignment="1">
      <alignment horizontal="right" vertical="center"/>
    </xf>
    <xf numFmtId="0" fontId="7" fillId="0" borderId="33" xfId="0" applyFont="1" applyBorder="1" applyAlignment="1">
      <alignment horizontal="right" vertical="center"/>
    </xf>
    <xf numFmtId="49" fontId="4" fillId="0" borderId="30" xfId="0" applyNumberFormat="1" applyFont="1" applyBorder="1" applyAlignment="1">
      <alignment horizontal="center" vertical="center" wrapText="1"/>
    </xf>
    <xf numFmtId="49" fontId="4" fillId="0" borderId="3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0" fontId="17" fillId="4" borderId="37" xfId="0" applyFont="1" applyFill="1" applyBorder="1" applyAlignment="1">
      <alignment horizontal="left" vertical="center" wrapText="1"/>
    </xf>
    <xf numFmtId="0" fontId="18" fillId="4" borderId="10" xfId="0" applyFont="1" applyFill="1" applyBorder="1" applyAlignment="1">
      <alignment horizontal="left" vertical="center" wrapText="1"/>
    </xf>
    <xf numFmtId="0" fontId="18" fillId="4" borderId="11" xfId="0" applyFont="1" applyFill="1" applyBorder="1" applyAlignment="1">
      <alignment horizontal="left" vertical="center" wrapText="1"/>
    </xf>
    <xf numFmtId="2" fontId="15" fillId="0" borderId="28" xfId="0" applyNumberFormat="1" applyFont="1" applyBorder="1" applyAlignment="1">
      <alignment horizontal="center" vertical="center"/>
    </xf>
    <xf numFmtId="0" fontId="19" fillId="4" borderId="37" xfId="0" applyFont="1" applyFill="1" applyBorder="1" applyAlignment="1">
      <alignment horizontal="left" vertical="center" wrapText="1"/>
    </xf>
    <xf numFmtId="0" fontId="19" fillId="4" borderId="10" xfId="0" applyFont="1" applyFill="1" applyBorder="1" applyAlignment="1">
      <alignment horizontal="left" vertical="center" wrapText="1"/>
    </xf>
    <xf numFmtId="0" fontId="19" fillId="4" borderId="11" xfId="0" applyFont="1" applyFill="1" applyBorder="1" applyAlignment="1">
      <alignment horizontal="left" vertical="center" wrapText="1"/>
    </xf>
    <xf numFmtId="2" fontId="15" fillId="0" borderId="29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5" fillId="3" borderId="23" xfId="0" applyFont="1" applyFill="1" applyBorder="1" applyAlignment="1" applyProtection="1">
      <alignment horizontal="center" vertical="center" wrapText="1"/>
      <protection locked="0"/>
    </xf>
    <xf numFmtId="0" fontId="5" fillId="3" borderId="40" xfId="0" applyFont="1" applyFill="1" applyBorder="1" applyAlignment="1" applyProtection="1">
      <alignment horizontal="center" vertical="center" wrapText="1"/>
      <protection locked="0"/>
    </xf>
    <xf numFmtId="0" fontId="5" fillId="3" borderId="22" xfId="0" applyFont="1" applyFill="1" applyBorder="1" applyAlignment="1" applyProtection="1">
      <alignment horizontal="center" vertical="center" wrapText="1"/>
      <protection locked="0"/>
    </xf>
    <xf numFmtId="0" fontId="5" fillId="3" borderId="33" xfId="0" applyFont="1" applyFill="1" applyBorder="1" applyAlignment="1" applyProtection="1">
      <alignment horizontal="center" vertical="center" wrapText="1"/>
      <protection locked="0"/>
    </xf>
    <xf numFmtId="0" fontId="5" fillId="3" borderId="24" xfId="0" applyFont="1" applyFill="1" applyBorder="1" applyAlignment="1" applyProtection="1">
      <alignment horizontal="center" vertical="center" wrapText="1"/>
      <protection locked="0"/>
    </xf>
    <xf numFmtId="0" fontId="5" fillId="3" borderId="34" xfId="0" applyFont="1" applyFill="1" applyBorder="1" applyAlignment="1" applyProtection="1">
      <alignment horizontal="center" vertical="center" wrapText="1"/>
      <protection locked="0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M65"/>
  <sheetViews>
    <sheetView tabSelected="1" topLeftCell="A19" zoomScale="80" zoomScaleNormal="80" workbookViewId="0">
      <selection activeCell="B27" sqref="B27:F27"/>
    </sheetView>
  </sheetViews>
  <sheetFormatPr defaultRowHeight="15.65" x14ac:dyDescent="0.25"/>
  <cols>
    <col min="1" max="1" width="5.77734375" style="1" customWidth="1"/>
    <col min="2" max="2" width="43.88671875" style="1" customWidth="1"/>
    <col min="3" max="5" width="11.21875" style="1" customWidth="1"/>
    <col min="6" max="6" width="13" style="1" customWidth="1"/>
  </cols>
  <sheetData>
    <row r="1" spans="1:39" x14ac:dyDescent="0.25">
      <c r="F1" s="10" t="s">
        <v>94</v>
      </c>
      <c r="AM1" s="12" t="s">
        <v>67</v>
      </c>
    </row>
    <row r="2" spans="1:39" x14ac:dyDescent="0.25">
      <c r="B2" s="5"/>
      <c r="F2" s="11" t="s">
        <v>63</v>
      </c>
      <c r="AM2" s="12" t="s">
        <v>66</v>
      </c>
    </row>
    <row r="3" spans="1:39" ht="16.3" thickBot="1" x14ac:dyDescent="0.3">
      <c r="A3" s="90" t="s">
        <v>64</v>
      </c>
      <c r="B3" s="90"/>
      <c r="C3" s="90"/>
      <c r="D3" s="90"/>
      <c r="E3" s="90"/>
      <c r="F3" s="90"/>
    </row>
    <row r="4" spans="1:39" ht="47.55" customHeight="1" x14ac:dyDescent="0.25">
      <c r="A4" s="91" t="s">
        <v>96</v>
      </c>
      <c r="B4" s="91"/>
      <c r="C4" s="91"/>
      <c r="D4" s="91"/>
      <c r="E4" s="91"/>
      <c r="F4" s="91"/>
      <c r="H4" s="81" t="s">
        <v>69</v>
      </c>
      <c r="I4" s="82"/>
      <c r="J4" s="82"/>
      <c r="K4" s="82"/>
      <c r="L4" s="82"/>
      <c r="M4" s="82"/>
      <c r="N4" s="83"/>
    </row>
    <row r="5" spans="1:39" ht="11.25" customHeight="1" thickBot="1" x14ac:dyDescent="0.3">
      <c r="A5" s="12"/>
      <c r="B5" s="12"/>
      <c r="C5" s="12"/>
      <c r="D5" s="12"/>
      <c r="E5" s="12"/>
      <c r="F5" s="12"/>
      <c r="H5" s="84"/>
      <c r="I5" s="85"/>
      <c r="J5" s="85"/>
      <c r="K5" s="85"/>
      <c r="L5" s="85"/>
      <c r="M5" s="85"/>
      <c r="N5" s="86"/>
    </row>
    <row r="6" spans="1:39" ht="16.5" customHeight="1" thickBot="1" x14ac:dyDescent="0.3">
      <c r="A6" s="92" t="s">
        <v>65</v>
      </c>
      <c r="B6" s="92"/>
      <c r="C6" s="13" t="s">
        <v>67</v>
      </c>
      <c r="D6" s="14"/>
      <c r="E6" s="14"/>
      <c r="F6" s="12"/>
      <c r="H6" s="84"/>
      <c r="I6" s="85"/>
      <c r="J6" s="85"/>
      <c r="K6" s="85"/>
      <c r="L6" s="85"/>
      <c r="M6" s="85"/>
      <c r="N6" s="86"/>
    </row>
    <row r="7" spans="1:39" ht="11.25" customHeight="1" thickBot="1" x14ac:dyDescent="0.3">
      <c r="H7" s="87"/>
      <c r="I7" s="88"/>
      <c r="J7" s="88"/>
      <c r="K7" s="88"/>
      <c r="L7" s="88"/>
      <c r="M7" s="88"/>
      <c r="N7" s="89"/>
    </row>
    <row r="8" spans="1:39" s="8" customFormat="1" ht="31.25" x14ac:dyDescent="0.25">
      <c r="A8" s="70" t="s">
        <v>55</v>
      </c>
      <c r="B8" s="70" t="s">
        <v>53</v>
      </c>
      <c r="C8" s="72" t="s">
        <v>54</v>
      </c>
      <c r="D8" s="73" t="s">
        <v>89</v>
      </c>
      <c r="E8" s="73" t="s">
        <v>57</v>
      </c>
      <c r="F8" s="73" t="s">
        <v>90</v>
      </c>
    </row>
    <row r="9" spans="1:39" x14ac:dyDescent="0.25">
      <c r="A9" s="32">
        <v>1</v>
      </c>
      <c r="B9" s="33" t="s">
        <v>51</v>
      </c>
      <c r="C9" s="34"/>
      <c r="D9" s="35">
        <v>0.22</v>
      </c>
      <c r="E9" s="28">
        <f>ROUND($F$59*D9,0)</f>
        <v>0</v>
      </c>
      <c r="F9" s="36">
        <f>C9*E9</f>
        <v>0</v>
      </c>
    </row>
    <row r="10" spans="1:39" x14ac:dyDescent="0.25">
      <c r="A10" s="32">
        <v>2</v>
      </c>
      <c r="B10" s="33" t="s">
        <v>52</v>
      </c>
      <c r="C10" s="34"/>
      <c r="D10" s="35">
        <v>0.189</v>
      </c>
      <c r="E10" s="28">
        <f>ROUND($F$59*D10,0)</f>
        <v>0</v>
      </c>
      <c r="F10" s="36">
        <f>C10*E10</f>
        <v>0</v>
      </c>
    </row>
    <row r="11" spans="1:39" ht="54" customHeight="1" x14ac:dyDescent="0.25">
      <c r="A11" s="15">
        <v>3</v>
      </c>
      <c r="B11" s="93" t="s">
        <v>88</v>
      </c>
      <c r="C11" s="94"/>
      <c r="D11" s="94"/>
      <c r="E11" s="94"/>
      <c r="F11" s="95"/>
    </row>
    <row r="12" spans="1:39" x14ac:dyDescent="0.25">
      <c r="A12" s="24" t="s">
        <v>0</v>
      </c>
      <c r="B12" s="31">
        <v>1</v>
      </c>
      <c r="C12" s="99"/>
      <c r="D12" s="27">
        <v>0.39700000000000002</v>
      </c>
      <c r="E12" s="28">
        <f t="shared" ref="E12:E26" si="0">ROUND($F$59*D12,0)</f>
        <v>0</v>
      </c>
      <c r="F12" s="96">
        <f>C12*E26</f>
        <v>0</v>
      </c>
    </row>
    <row r="13" spans="1:39" x14ac:dyDescent="0.25">
      <c r="A13" s="24" t="s">
        <v>1</v>
      </c>
      <c r="B13" s="31">
        <v>2</v>
      </c>
      <c r="C13" s="100"/>
      <c r="D13" s="27">
        <v>0.39700000000000002</v>
      </c>
      <c r="E13" s="28">
        <f t="shared" si="0"/>
        <v>0</v>
      </c>
      <c r="F13" s="97"/>
    </row>
    <row r="14" spans="1:39" x14ac:dyDescent="0.25">
      <c r="A14" s="24" t="s">
        <v>2</v>
      </c>
      <c r="B14" s="31">
        <v>3</v>
      </c>
      <c r="C14" s="100"/>
      <c r="D14" s="27">
        <v>0.39700000000000002</v>
      </c>
      <c r="E14" s="28">
        <f t="shared" si="0"/>
        <v>0</v>
      </c>
      <c r="F14" s="97"/>
    </row>
    <row r="15" spans="1:39" x14ac:dyDescent="0.25">
      <c r="A15" s="24" t="s">
        <v>3</v>
      </c>
      <c r="B15" s="31">
        <v>4</v>
      </c>
      <c r="C15" s="100"/>
      <c r="D15" s="27">
        <v>0.44600000000000001</v>
      </c>
      <c r="E15" s="28">
        <f t="shared" si="0"/>
        <v>0</v>
      </c>
      <c r="F15" s="97"/>
    </row>
    <row r="16" spans="1:39" x14ac:dyDescent="0.25">
      <c r="A16" s="24" t="s">
        <v>4</v>
      </c>
      <c r="B16" s="31">
        <v>5</v>
      </c>
      <c r="C16" s="100"/>
      <c r="D16" s="27">
        <v>0.48</v>
      </c>
      <c r="E16" s="28">
        <f t="shared" si="0"/>
        <v>0</v>
      </c>
      <c r="F16" s="97"/>
    </row>
    <row r="17" spans="1:6" x14ac:dyDescent="0.25">
      <c r="A17" s="24" t="s">
        <v>5</v>
      </c>
      <c r="B17" s="31">
        <v>6</v>
      </c>
      <c r="C17" s="100"/>
      <c r="D17" s="27">
        <v>0.51100000000000001</v>
      </c>
      <c r="E17" s="28">
        <f t="shared" si="0"/>
        <v>0</v>
      </c>
      <c r="F17" s="97"/>
    </row>
    <row r="18" spans="1:6" x14ac:dyDescent="0.25">
      <c r="A18" s="24" t="s">
        <v>6</v>
      </c>
      <c r="B18" s="31">
        <v>7</v>
      </c>
      <c r="C18" s="100"/>
      <c r="D18" s="27">
        <v>0.54</v>
      </c>
      <c r="E18" s="28">
        <f t="shared" si="0"/>
        <v>0</v>
      </c>
      <c r="F18" s="97"/>
    </row>
    <row r="19" spans="1:6" x14ac:dyDescent="0.25">
      <c r="A19" s="24" t="s">
        <v>7</v>
      </c>
      <c r="B19" s="31">
        <v>8</v>
      </c>
      <c r="C19" s="100"/>
      <c r="D19" s="27">
        <v>0.56899999999999995</v>
      </c>
      <c r="E19" s="28">
        <f t="shared" si="0"/>
        <v>0</v>
      </c>
      <c r="F19" s="97"/>
    </row>
    <row r="20" spans="1:6" x14ac:dyDescent="0.25">
      <c r="A20" s="24" t="s">
        <v>8</v>
      </c>
      <c r="B20" s="31">
        <v>9</v>
      </c>
      <c r="C20" s="100"/>
      <c r="D20" s="27">
        <v>0.59399999999999997</v>
      </c>
      <c r="E20" s="28">
        <f t="shared" si="0"/>
        <v>0</v>
      </c>
      <c r="F20" s="97"/>
    </row>
    <row r="21" spans="1:6" x14ac:dyDescent="0.25">
      <c r="A21" s="24" t="s">
        <v>9</v>
      </c>
      <c r="B21" s="31">
        <v>10</v>
      </c>
      <c r="C21" s="100"/>
      <c r="D21" s="27">
        <v>0.61699999999999999</v>
      </c>
      <c r="E21" s="28">
        <f t="shared" si="0"/>
        <v>0</v>
      </c>
      <c r="F21" s="97"/>
    </row>
    <row r="22" spans="1:6" x14ac:dyDescent="0.25">
      <c r="A22" s="24" t="s">
        <v>10</v>
      </c>
      <c r="B22" s="31">
        <v>11</v>
      </c>
      <c r="C22" s="100"/>
      <c r="D22" s="27">
        <v>0.63400000000000001</v>
      </c>
      <c r="E22" s="28">
        <f t="shared" si="0"/>
        <v>0</v>
      </c>
      <c r="F22" s="97"/>
    </row>
    <row r="23" spans="1:6" x14ac:dyDescent="0.25">
      <c r="A23" s="24" t="s">
        <v>11</v>
      </c>
      <c r="B23" s="31">
        <v>12</v>
      </c>
      <c r="C23" s="100"/>
      <c r="D23" s="27">
        <v>0.64900000000000002</v>
      </c>
      <c r="E23" s="28">
        <f t="shared" si="0"/>
        <v>0</v>
      </c>
      <c r="F23" s="97"/>
    </row>
    <row r="24" spans="1:6" x14ac:dyDescent="0.25">
      <c r="A24" s="24" t="s">
        <v>12</v>
      </c>
      <c r="B24" s="31">
        <v>13</v>
      </c>
      <c r="C24" s="100"/>
      <c r="D24" s="27">
        <v>0.66300000000000003</v>
      </c>
      <c r="E24" s="28">
        <f t="shared" si="0"/>
        <v>0</v>
      </c>
      <c r="F24" s="97"/>
    </row>
    <row r="25" spans="1:6" x14ac:dyDescent="0.25">
      <c r="A25" s="24" t="s">
        <v>13</v>
      </c>
      <c r="B25" s="31">
        <v>14</v>
      </c>
      <c r="C25" s="100"/>
      <c r="D25" s="27">
        <v>0.67700000000000005</v>
      </c>
      <c r="E25" s="28">
        <f t="shared" si="0"/>
        <v>0</v>
      </c>
      <c r="F25" s="97"/>
    </row>
    <row r="26" spans="1:6" x14ac:dyDescent="0.25">
      <c r="A26" s="24" t="s">
        <v>14</v>
      </c>
      <c r="B26" s="31">
        <v>15</v>
      </c>
      <c r="C26" s="101"/>
      <c r="D26" s="27">
        <v>0.69099999999999995</v>
      </c>
      <c r="E26" s="28">
        <f t="shared" si="0"/>
        <v>0</v>
      </c>
      <c r="F26" s="98"/>
    </row>
    <row r="27" spans="1:6" ht="59.3" customHeight="1" x14ac:dyDescent="0.25">
      <c r="A27" s="16">
        <v>4</v>
      </c>
      <c r="B27" s="102" t="s">
        <v>87</v>
      </c>
      <c r="C27" s="103"/>
      <c r="D27" s="103"/>
      <c r="E27" s="103"/>
      <c r="F27" s="104"/>
    </row>
    <row r="28" spans="1:6" x14ac:dyDescent="0.25">
      <c r="A28" s="24" t="s">
        <v>15</v>
      </c>
      <c r="B28" s="25" t="s">
        <v>33</v>
      </c>
      <c r="C28" s="99"/>
      <c r="D28" s="27">
        <v>0.41699999999999998</v>
      </c>
      <c r="E28" s="28">
        <f t="shared" ref="E28:E45" si="1">ROUND($F$59*D28,0)</f>
        <v>0</v>
      </c>
      <c r="F28" s="96">
        <f>C28*E45</f>
        <v>0</v>
      </c>
    </row>
    <row r="29" spans="1:6" x14ac:dyDescent="0.25">
      <c r="A29" s="24" t="s">
        <v>16</v>
      </c>
      <c r="B29" s="25" t="s">
        <v>34</v>
      </c>
      <c r="C29" s="100"/>
      <c r="D29" s="27">
        <v>0.45100000000000001</v>
      </c>
      <c r="E29" s="28">
        <f t="shared" si="1"/>
        <v>0</v>
      </c>
      <c r="F29" s="97"/>
    </row>
    <row r="30" spans="1:6" x14ac:dyDescent="0.25">
      <c r="A30" s="24" t="s">
        <v>17</v>
      </c>
      <c r="B30" s="25" t="s">
        <v>35</v>
      </c>
      <c r="C30" s="100"/>
      <c r="D30" s="27">
        <v>0.48599999999999999</v>
      </c>
      <c r="E30" s="28">
        <f t="shared" si="1"/>
        <v>0</v>
      </c>
      <c r="F30" s="97"/>
    </row>
    <row r="31" spans="1:6" x14ac:dyDescent="0.25">
      <c r="A31" s="24" t="s">
        <v>18</v>
      </c>
      <c r="B31" s="25" t="s">
        <v>36</v>
      </c>
      <c r="C31" s="100"/>
      <c r="D31" s="27">
        <v>0.52</v>
      </c>
      <c r="E31" s="28">
        <f t="shared" si="1"/>
        <v>0</v>
      </c>
      <c r="F31" s="97"/>
    </row>
    <row r="32" spans="1:6" x14ac:dyDescent="0.25">
      <c r="A32" s="24" t="s">
        <v>19</v>
      </c>
      <c r="B32" s="25" t="s">
        <v>37</v>
      </c>
      <c r="C32" s="100"/>
      <c r="D32" s="27">
        <v>0.55400000000000005</v>
      </c>
      <c r="E32" s="28">
        <f t="shared" si="1"/>
        <v>0</v>
      </c>
      <c r="F32" s="97"/>
    </row>
    <row r="33" spans="1:6" x14ac:dyDescent="0.25">
      <c r="A33" s="24" t="s">
        <v>20</v>
      </c>
      <c r="B33" s="25" t="s">
        <v>38</v>
      </c>
      <c r="C33" s="100"/>
      <c r="D33" s="27">
        <v>0.58899999999999997</v>
      </c>
      <c r="E33" s="28">
        <f t="shared" si="1"/>
        <v>0</v>
      </c>
      <c r="F33" s="97"/>
    </row>
    <row r="34" spans="1:6" x14ac:dyDescent="0.25">
      <c r="A34" s="24" t="s">
        <v>21</v>
      </c>
      <c r="B34" s="25" t="s">
        <v>39</v>
      </c>
      <c r="C34" s="100"/>
      <c r="D34" s="27">
        <v>0.623</v>
      </c>
      <c r="E34" s="28">
        <f t="shared" si="1"/>
        <v>0</v>
      </c>
      <c r="F34" s="97"/>
    </row>
    <row r="35" spans="1:6" x14ac:dyDescent="0.25">
      <c r="A35" s="24" t="s">
        <v>22</v>
      </c>
      <c r="B35" s="25" t="s">
        <v>40</v>
      </c>
      <c r="C35" s="100"/>
      <c r="D35" s="27">
        <v>0.65700000000000003</v>
      </c>
      <c r="E35" s="28">
        <f t="shared" si="1"/>
        <v>0</v>
      </c>
      <c r="F35" s="97"/>
    </row>
    <row r="36" spans="1:6" x14ac:dyDescent="0.25">
      <c r="A36" s="24" t="s">
        <v>23</v>
      </c>
      <c r="B36" s="25" t="s">
        <v>41</v>
      </c>
      <c r="C36" s="100"/>
      <c r="D36" s="27">
        <v>0.69099999999999995</v>
      </c>
      <c r="E36" s="28">
        <f t="shared" si="1"/>
        <v>0</v>
      </c>
      <c r="F36" s="97"/>
    </row>
    <row r="37" spans="1:6" x14ac:dyDescent="0.25">
      <c r="A37" s="24" t="s">
        <v>24</v>
      </c>
      <c r="B37" s="25" t="s">
        <v>42</v>
      </c>
      <c r="C37" s="100"/>
      <c r="D37" s="27">
        <v>0.72599999999999998</v>
      </c>
      <c r="E37" s="28">
        <f t="shared" si="1"/>
        <v>0</v>
      </c>
      <c r="F37" s="97"/>
    </row>
    <row r="38" spans="1:6" x14ac:dyDescent="0.25">
      <c r="A38" s="24" t="s">
        <v>25</v>
      </c>
      <c r="B38" s="25" t="s">
        <v>43</v>
      </c>
      <c r="C38" s="100"/>
      <c r="D38" s="27">
        <v>0.76</v>
      </c>
      <c r="E38" s="28">
        <f t="shared" si="1"/>
        <v>0</v>
      </c>
      <c r="F38" s="97"/>
    </row>
    <row r="39" spans="1:6" x14ac:dyDescent="0.25">
      <c r="A39" s="24" t="s">
        <v>26</v>
      </c>
      <c r="B39" s="25" t="s">
        <v>44</v>
      </c>
      <c r="C39" s="100"/>
      <c r="D39" s="27">
        <v>0.79400000000000004</v>
      </c>
      <c r="E39" s="28">
        <f t="shared" si="1"/>
        <v>0</v>
      </c>
      <c r="F39" s="97"/>
    </row>
    <row r="40" spans="1:6" x14ac:dyDescent="0.25">
      <c r="A40" s="24" t="s">
        <v>27</v>
      </c>
      <c r="B40" s="25" t="s">
        <v>45</v>
      </c>
      <c r="C40" s="100"/>
      <c r="D40" s="27">
        <v>0.82899999999999996</v>
      </c>
      <c r="E40" s="28">
        <f t="shared" si="1"/>
        <v>0</v>
      </c>
      <c r="F40" s="97"/>
    </row>
    <row r="41" spans="1:6" x14ac:dyDescent="0.25">
      <c r="A41" s="24" t="s">
        <v>28</v>
      </c>
      <c r="B41" s="25" t="s">
        <v>46</v>
      </c>
      <c r="C41" s="100"/>
      <c r="D41" s="27">
        <v>0.86299999999999999</v>
      </c>
      <c r="E41" s="28">
        <f t="shared" si="1"/>
        <v>0</v>
      </c>
      <c r="F41" s="97"/>
    </row>
    <row r="42" spans="1:6" x14ac:dyDescent="0.25">
      <c r="A42" s="24" t="s">
        <v>29</v>
      </c>
      <c r="B42" s="25" t="s">
        <v>47</v>
      </c>
      <c r="C42" s="100"/>
      <c r="D42" s="27">
        <v>0.89700000000000002</v>
      </c>
      <c r="E42" s="28">
        <f t="shared" si="1"/>
        <v>0</v>
      </c>
      <c r="F42" s="97"/>
    </row>
    <row r="43" spans="1:6" x14ac:dyDescent="0.25">
      <c r="A43" s="24" t="s">
        <v>30</v>
      </c>
      <c r="B43" s="25" t="s">
        <v>48</v>
      </c>
      <c r="C43" s="100"/>
      <c r="D43" s="27">
        <v>0.93100000000000005</v>
      </c>
      <c r="E43" s="28">
        <f t="shared" si="1"/>
        <v>0</v>
      </c>
      <c r="F43" s="97"/>
    </row>
    <row r="44" spans="1:6" x14ac:dyDescent="0.25">
      <c r="A44" s="24" t="s">
        <v>31</v>
      </c>
      <c r="B44" s="25" t="s">
        <v>49</v>
      </c>
      <c r="C44" s="100"/>
      <c r="D44" s="27">
        <v>0.96599999999999997</v>
      </c>
      <c r="E44" s="28">
        <f t="shared" si="1"/>
        <v>0</v>
      </c>
      <c r="F44" s="97"/>
    </row>
    <row r="45" spans="1:6" x14ac:dyDescent="0.25">
      <c r="A45" s="24" t="s">
        <v>32</v>
      </c>
      <c r="B45" s="25" t="s">
        <v>50</v>
      </c>
      <c r="C45" s="101"/>
      <c r="D45" s="30">
        <v>1</v>
      </c>
      <c r="E45" s="28">
        <f t="shared" si="1"/>
        <v>0</v>
      </c>
      <c r="F45" s="98"/>
    </row>
    <row r="46" spans="1:6" ht="45.55" hidden="1" x14ac:dyDescent="0.25">
      <c r="A46" s="66"/>
      <c r="B46" s="67"/>
      <c r="C46" s="72" t="s">
        <v>54</v>
      </c>
      <c r="D46" s="73" t="s">
        <v>89</v>
      </c>
      <c r="E46" s="72" t="s">
        <v>62</v>
      </c>
      <c r="F46" s="73" t="s">
        <v>90</v>
      </c>
    </row>
    <row r="47" spans="1:6" ht="120.75" hidden="1" customHeight="1" x14ac:dyDescent="0.25">
      <c r="A47" s="21">
        <v>5</v>
      </c>
      <c r="B47" s="23" t="s">
        <v>86</v>
      </c>
      <c r="C47" s="2"/>
      <c r="D47" s="9">
        <v>1.057E-2</v>
      </c>
      <c r="E47" s="7">
        <f>ROUND($F$59*D47,2)</f>
        <v>0</v>
      </c>
      <c r="F47" s="4">
        <f>C47*E47*300</f>
        <v>0</v>
      </c>
    </row>
    <row r="48" spans="1:6" ht="17" x14ac:dyDescent="0.25">
      <c r="A48" s="78" t="s">
        <v>85</v>
      </c>
      <c r="B48" s="78"/>
      <c r="C48" s="78"/>
      <c r="D48" s="78"/>
      <c r="E48" s="78"/>
      <c r="F48" s="69">
        <f>SUM(C9:C47)</f>
        <v>0</v>
      </c>
    </row>
    <row r="49" spans="1:6" x14ac:dyDescent="0.25">
      <c r="A49" s="78" t="s">
        <v>60</v>
      </c>
      <c r="B49" s="78"/>
      <c r="C49" s="78"/>
      <c r="D49" s="78"/>
      <c r="E49" s="78"/>
      <c r="F49" s="3">
        <f>F28+F12+F10+F9+F47</f>
        <v>0</v>
      </c>
    </row>
    <row r="50" spans="1:6" x14ac:dyDescent="0.25">
      <c r="A50" s="78" t="s">
        <v>59</v>
      </c>
      <c r="B50" s="78"/>
      <c r="C50" s="78"/>
      <c r="D50" s="78"/>
      <c r="E50" s="78"/>
      <c r="F50" s="3">
        <f>IF(C6="так",F49*0.2,0)</f>
        <v>0</v>
      </c>
    </row>
    <row r="51" spans="1:6" x14ac:dyDescent="0.25">
      <c r="A51" s="78" t="s">
        <v>61</v>
      </c>
      <c r="B51" s="78"/>
      <c r="C51" s="78"/>
      <c r="D51" s="78"/>
      <c r="E51" s="78"/>
      <c r="F51" s="3">
        <f>SUM(F49:F50)</f>
        <v>0</v>
      </c>
    </row>
    <row r="52" spans="1:6" x14ac:dyDescent="0.25">
      <c r="A52" s="17"/>
      <c r="B52" s="17"/>
      <c r="C52" s="17"/>
      <c r="D52" s="17"/>
      <c r="E52" s="17"/>
      <c r="F52" s="18"/>
    </row>
    <row r="54" spans="1:6" x14ac:dyDescent="0.25">
      <c r="A54" s="22"/>
      <c r="B54" s="22"/>
      <c r="C54" s="22"/>
      <c r="D54" s="22"/>
      <c r="E54" s="22"/>
      <c r="F54" s="22"/>
    </row>
    <row r="55" spans="1:6" x14ac:dyDescent="0.25">
      <c r="B55" s="1" t="s">
        <v>70</v>
      </c>
      <c r="C55" s="1" t="s">
        <v>71</v>
      </c>
      <c r="E55" s="80" t="s">
        <v>72</v>
      </c>
      <c r="F55" s="80"/>
    </row>
    <row r="57" spans="1:6" hidden="1" x14ac:dyDescent="0.25"/>
    <row r="58" spans="1:6" hidden="1" x14ac:dyDescent="0.25"/>
    <row r="59" spans="1:6" ht="45.7" customHeight="1" x14ac:dyDescent="0.25">
      <c r="A59" s="76" t="s">
        <v>91</v>
      </c>
      <c r="B59" s="76"/>
      <c r="C59" s="76"/>
      <c r="D59" s="76"/>
      <c r="E59" s="77"/>
      <c r="F59" s="19"/>
    </row>
    <row r="60" spans="1:6" ht="30.75" customHeight="1" x14ac:dyDescent="0.25">
      <c r="A60" s="68"/>
      <c r="B60" s="68"/>
    </row>
    <row r="61" spans="1:6" ht="54" customHeight="1" x14ac:dyDescent="0.25">
      <c r="A61" s="79" t="s">
        <v>92</v>
      </c>
      <c r="B61" s="79"/>
      <c r="C61" s="79"/>
      <c r="D61" s="79"/>
      <c r="E61" s="79"/>
      <c r="F61" s="79"/>
    </row>
    <row r="62" spans="1:6" ht="16" customHeight="1" x14ac:dyDescent="0.25">
      <c r="A62" s="71"/>
      <c r="B62" s="71"/>
      <c r="C62" s="71"/>
      <c r="D62" s="71"/>
      <c r="E62" s="71"/>
      <c r="F62" s="71"/>
    </row>
    <row r="63" spans="1:6" ht="32.950000000000003" hidden="1" customHeight="1" x14ac:dyDescent="0.25">
      <c r="A63" s="75" t="s">
        <v>93</v>
      </c>
      <c r="B63" s="75"/>
      <c r="C63" s="75"/>
      <c r="D63" s="75"/>
      <c r="E63" s="75"/>
      <c r="F63" s="75"/>
    </row>
    <row r="64" spans="1:6" ht="19.05" hidden="1" x14ac:dyDescent="0.25">
      <c r="B64" s="74" t="s">
        <v>95</v>
      </c>
    </row>
    <row r="65" hidden="1" x14ac:dyDescent="0.25"/>
  </sheetData>
  <mergeCells count="18">
    <mergeCell ref="H4:N7"/>
    <mergeCell ref="A3:F3"/>
    <mergeCell ref="A4:F4"/>
    <mergeCell ref="A6:B6"/>
    <mergeCell ref="A49:E49"/>
    <mergeCell ref="B11:F11"/>
    <mergeCell ref="F12:F26"/>
    <mergeCell ref="C12:C26"/>
    <mergeCell ref="B27:F27"/>
    <mergeCell ref="C28:C45"/>
    <mergeCell ref="F28:F45"/>
    <mergeCell ref="A63:F63"/>
    <mergeCell ref="A59:E59"/>
    <mergeCell ref="A48:E48"/>
    <mergeCell ref="A61:F61"/>
    <mergeCell ref="E55:F55"/>
    <mergeCell ref="A51:E51"/>
    <mergeCell ref="A50:E50"/>
  </mergeCells>
  <phoneticPr fontId="10" type="noConversion"/>
  <dataValidations count="1">
    <dataValidation type="list" allowBlank="1" showInputMessage="1" showErrorMessage="1" sqref="C6" xr:uid="{00000000-0002-0000-0000-000000000000}">
      <formula1>$AM$1:$AM$2</formula1>
    </dataValidation>
  </dataValidations>
  <pageMargins left="0.70866141732283472" right="0.70866141732283472" top="0.74803149606299213" bottom="0.74803149606299213" header="0.31496062992125984" footer="0.31496062992125984"/>
  <pageSetup paperSize="9" scale="85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F63"/>
  <sheetViews>
    <sheetView topLeftCell="A57" zoomScale="115" zoomScaleNormal="115" workbookViewId="0">
      <selection activeCell="L56" sqref="L56"/>
    </sheetView>
  </sheetViews>
  <sheetFormatPr defaultRowHeight="15.65" x14ac:dyDescent="0.25"/>
  <cols>
    <col min="1" max="1" width="5.77734375" style="1" customWidth="1"/>
    <col min="2" max="2" width="43.88671875" style="1" customWidth="1"/>
    <col min="3" max="3" width="13.109375" style="1" customWidth="1"/>
    <col min="4" max="5" width="11.21875" style="1" customWidth="1"/>
    <col min="6" max="6" width="13" style="1" customWidth="1"/>
  </cols>
  <sheetData>
    <row r="1" spans="1:32" x14ac:dyDescent="0.25">
      <c r="F1" s="10" t="s">
        <v>81</v>
      </c>
      <c r="AF1" s="12" t="s">
        <v>67</v>
      </c>
    </row>
    <row r="2" spans="1:32" x14ac:dyDescent="0.25">
      <c r="B2" s="5"/>
      <c r="F2" s="37" t="s">
        <v>82</v>
      </c>
      <c r="AF2" s="12" t="s">
        <v>66</v>
      </c>
    </row>
    <row r="3" spans="1:32" x14ac:dyDescent="0.25">
      <c r="B3" s="5"/>
      <c r="F3" s="11" t="s">
        <v>83</v>
      </c>
      <c r="AF3" s="12"/>
    </row>
    <row r="4" spans="1:32" x14ac:dyDescent="0.25">
      <c r="A4" s="90" t="s">
        <v>64</v>
      </c>
      <c r="B4" s="90"/>
      <c r="C4" s="90"/>
      <c r="D4" s="90"/>
      <c r="E4" s="90"/>
      <c r="F4" s="90"/>
    </row>
    <row r="5" spans="1:32" ht="45" customHeight="1" thickBot="1" x14ac:dyDescent="0.3">
      <c r="A5" s="132" t="str">
        <f>'Калькуляція ТД'!A4</f>
        <v xml:space="preserve">розрахунку цін та загальної вартості надання послуг з навантаження, розвантаження, вивезення та перевезення деревини, Корсунь-Шевченківське надлісництво, Черкаська область (філія «Центральний  лісовий офіс»)  </v>
      </c>
      <c r="B5" s="132"/>
      <c r="C5" s="132"/>
      <c r="D5" s="132"/>
      <c r="E5" s="132"/>
      <c r="F5" s="132"/>
    </row>
    <row r="6" spans="1:32" ht="11.25" hidden="1" customHeight="1" thickBot="1" x14ac:dyDescent="0.3">
      <c r="A6" s="12"/>
      <c r="B6" s="12"/>
      <c r="C6" s="12"/>
      <c r="D6" s="12"/>
      <c r="E6" s="12"/>
      <c r="F6" s="12"/>
    </row>
    <row r="7" spans="1:32" ht="16.5" hidden="1" customHeight="1" thickBot="1" x14ac:dyDescent="0.3">
      <c r="A7" s="92" t="s">
        <v>65</v>
      </c>
      <c r="B7" s="92"/>
      <c r="C7" s="13" t="str">
        <f>'Калькуляція ТД'!C6</f>
        <v>так</v>
      </c>
      <c r="D7" s="14"/>
      <c r="E7" s="14"/>
      <c r="F7" s="12"/>
    </row>
    <row r="8" spans="1:32" ht="11.25" hidden="1" customHeight="1" x14ac:dyDescent="0.25"/>
    <row r="9" spans="1:32" s="8" customFormat="1" x14ac:dyDescent="0.25">
      <c r="A9" s="133" t="s">
        <v>55</v>
      </c>
      <c r="B9" s="135" t="s">
        <v>53</v>
      </c>
      <c r="C9" s="137" t="s">
        <v>54</v>
      </c>
      <c r="D9" s="139" t="s">
        <v>56</v>
      </c>
      <c r="E9" s="139" t="s">
        <v>57</v>
      </c>
      <c r="F9" s="141" t="s">
        <v>58</v>
      </c>
    </row>
    <row r="10" spans="1:32" ht="16.3" thickBot="1" x14ac:dyDescent="0.3">
      <c r="A10" s="134"/>
      <c r="B10" s="136"/>
      <c r="C10" s="138"/>
      <c r="D10" s="140"/>
      <c r="E10" s="140"/>
      <c r="F10" s="142"/>
    </row>
    <row r="11" spans="1:32" x14ac:dyDescent="0.25">
      <c r="A11" s="62">
        <v>1</v>
      </c>
      <c r="B11" s="63" t="s">
        <v>51</v>
      </c>
      <c r="C11" s="29">
        <f>'Калькуляція ТД'!C9</f>
        <v>0</v>
      </c>
      <c r="D11" s="64">
        <v>0.24099999999999999</v>
      </c>
      <c r="E11" s="54">
        <f>'Калькуляція ТД'!E9</f>
        <v>0</v>
      </c>
      <c r="F11" s="65">
        <f>C11*E11</f>
        <v>0</v>
      </c>
    </row>
    <row r="12" spans="1:32" ht="16.3" thickBot="1" x14ac:dyDescent="0.3">
      <c r="A12" s="56">
        <v>2</v>
      </c>
      <c r="B12" s="57" t="s">
        <v>52</v>
      </c>
      <c r="C12" s="26">
        <f>'Калькуляція ТД'!C10</f>
        <v>0</v>
      </c>
      <c r="D12" s="58">
        <v>0.20699999999999999</v>
      </c>
      <c r="E12" s="50">
        <f>'Калькуляція ТД'!E10</f>
        <v>0</v>
      </c>
      <c r="F12" s="59">
        <f>C12*E12</f>
        <v>0</v>
      </c>
    </row>
    <row r="13" spans="1:32" ht="54.7" customHeight="1" thickBot="1" x14ac:dyDescent="0.3">
      <c r="A13" s="61">
        <v>3</v>
      </c>
      <c r="B13" s="124" t="s">
        <v>73</v>
      </c>
      <c r="C13" s="125"/>
      <c r="D13" s="125"/>
      <c r="E13" s="125"/>
      <c r="F13" s="126"/>
    </row>
    <row r="14" spans="1:32" x14ac:dyDescent="0.25">
      <c r="A14" s="51" t="s">
        <v>0</v>
      </c>
      <c r="B14" s="60">
        <v>1</v>
      </c>
      <c r="C14" s="100">
        <f>'Калькуляція ТД'!C12</f>
        <v>0</v>
      </c>
      <c r="D14" s="53">
        <v>0.41399999999999998</v>
      </c>
      <c r="E14" s="54">
        <f>'Калькуляція ТД'!E12</f>
        <v>0</v>
      </c>
      <c r="F14" s="127">
        <f>C14*E28</f>
        <v>0</v>
      </c>
    </row>
    <row r="15" spans="1:32" x14ac:dyDescent="0.25">
      <c r="A15" s="38" t="s">
        <v>1</v>
      </c>
      <c r="B15" s="31">
        <v>2</v>
      </c>
      <c r="C15" s="100"/>
      <c r="D15" s="27">
        <v>0.41399999999999998</v>
      </c>
      <c r="E15" s="28">
        <f>'Калькуляція ТД'!E13</f>
        <v>0</v>
      </c>
      <c r="F15" s="127"/>
    </row>
    <row r="16" spans="1:32" x14ac:dyDescent="0.25">
      <c r="A16" s="38" t="s">
        <v>2</v>
      </c>
      <c r="B16" s="31">
        <v>3</v>
      </c>
      <c r="C16" s="100"/>
      <c r="D16" s="27">
        <v>0.41399999999999998</v>
      </c>
      <c r="E16" s="28">
        <f>'Калькуляція ТД'!E14</f>
        <v>0</v>
      </c>
      <c r="F16" s="127"/>
    </row>
    <row r="17" spans="1:6" x14ac:dyDescent="0.25">
      <c r="A17" s="38" t="s">
        <v>3</v>
      </c>
      <c r="B17" s="31">
        <v>4</v>
      </c>
      <c r="C17" s="100"/>
      <c r="D17" s="27">
        <v>0.46600000000000003</v>
      </c>
      <c r="E17" s="28">
        <f>'Калькуляція ТД'!E15</f>
        <v>0</v>
      </c>
      <c r="F17" s="127"/>
    </row>
    <row r="18" spans="1:6" x14ac:dyDescent="0.25">
      <c r="A18" s="38" t="s">
        <v>4</v>
      </c>
      <c r="B18" s="31">
        <v>5</v>
      </c>
      <c r="C18" s="100"/>
      <c r="D18" s="27">
        <v>0.5</v>
      </c>
      <c r="E18" s="28">
        <f>'Калькуляція ТД'!E16</f>
        <v>0</v>
      </c>
      <c r="F18" s="127"/>
    </row>
    <row r="19" spans="1:6" x14ac:dyDescent="0.25">
      <c r="A19" s="38" t="s">
        <v>5</v>
      </c>
      <c r="B19" s="31">
        <v>6</v>
      </c>
      <c r="C19" s="100"/>
      <c r="D19" s="27">
        <v>0.53400000000000003</v>
      </c>
      <c r="E19" s="28">
        <f>'Калькуляція ТД'!E17</f>
        <v>0</v>
      </c>
      <c r="F19" s="127"/>
    </row>
    <row r="20" spans="1:6" x14ac:dyDescent="0.25">
      <c r="A20" s="38" t="s">
        <v>6</v>
      </c>
      <c r="B20" s="31">
        <v>7</v>
      </c>
      <c r="C20" s="100"/>
      <c r="D20" s="27">
        <v>0.55900000000000005</v>
      </c>
      <c r="E20" s="28">
        <f>'Калькуляція ТД'!E18</f>
        <v>0</v>
      </c>
      <c r="F20" s="127"/>
    </row>
    <row r="21" spans="1:6" x14ac:dyDescent="0.25">
      <c r="A21" s="38" t="s">
        <v>7</v>
      </c>
      <c r="B21" s="31">
        <v>8</v>
      </c>
      <c r="C21" s="100"/>
      <c r="D21" s="27">
        <v>0.58299999999999996</v>
      </c>
      <c r="E21" s="28">
        <f>'Калькуляція ТД'!E19</f>
        <v>0</v>
      </c>
      <c r="F21" s="127"/>
    </row>
    <row r="22" spans="1:6" x14ac:dyDescent="0.25">
      <c r="A22" s="38" t="s">
        <v>8</v>
      </c>
      <c r="B22" s="31">
        <v>9</v>
      </c>
      <c r="C22" s="100"/>
      <c r="D22" s="27">
        <v>0.6</v>
      </c>
      <c r="E22" s="28">
        <f>'Калькуляція ТД'!E20</f>
        <v>0</v>
      </c>
      <c r="F22" s="127"/>
    </row>
    <row r="23" spans="1:6" x14ac:dyDescent="0.25">
      <c r="A23" s="38" t="s">
        <v>9</v>
      </c>
      <c r="B23" s="31">
        <v>10</v>
      </c>
      <c r="C23" s="100"/>
      <c r="D23" s="27">
        <v>0.61399999999999999</v>
      </c>
      <c r="E23" s="28">
        <f>'Калькуляція ТД'!E21</f>
        <v>0</v>
      </c>
      <c r="F23" s="127"/>
    </row>
    <row r="24" spans="1:6" x14ac:dyDescent="0.25">
      <c r="A24" s="38" t="s">
        <v>10</v>
      </c>
      <c r="B24" s="31">
        <v>11</v>
      </c>
      <c r="C24" s="100"/>
      <c r="D24" s="27">
        <v>0.63100000000000001</v>
      </c>
      <c r="E24" s="28">
        <f>'Калькуляція ТД'!E22</f>
        <v>0</v>
      </c>
      <c r="F24" s="127"/>
    </row>
    <row r="25" spans="1:6" x14ac:dyDescent="0.25">
      <c r="A25" s="38" t="s">
        <v>11</v>
      </c>
      <c r="B25" s="31">
        <v>12</v>
      </c>
      <c r="C25" s="100"/>
      <c r="D25" s="27">
        <v>0.64100000000000001</v>
      </c>
      <c r="E25" s="28">
        <f>'Калькуляція ТД'!E23</f>
        <v>0</v>
      </c>
      <c r="F25" s="127"/>
    </row>
    <row r="26" spans="1:6" x14ac:dyDescent="0.25">
      <c r="A26" s="38" t="s">
        <v>12</v>
      </c>
      <c r="B26" s="31">
        <v>13</v>
      </c>
      <c r="C26" s="100"/>
      <c r="D26" s="27">
        <v>0.65200000000000002</v>
      </c>
      <c r="E26" s="28">
        <f>'Калькуляція ТД'!E24</f>
        <v>0</v>
      </c>
      <c r="F26" s="127"/>
    </row>
    <row r="27" spans="1:6" x14ac:dyDescent="0.25">
      <c r="A27" s="38" t="s">
        <v>13</v>
      </c>
      <c r="B27" s="31">
        <v>14</v>
      </c>
      <c r="C27" s="100"/>
      <c r="D27" s="27">
        <v>0.66200000000000003</v>
      </c>
      <c r="E27" s="28">
        <f>'Калькуляція ТД'!E25</f>
        <v>0</v>
      </c>
      <c r="F27" s="127"/>
    </row>
    <row r="28" spans="1:6" ht="16.3" thickBot="1" x14ac:dyDescent="0.3">
      <c r="A28" s="48" t="s">
        <v>14</v>
      </c>
      <c r="B28" s="49">
        <v>15</v>
      </c>
      <c r="C28" s="100"/>
      <c r="D28" s="30">
        <v>0.67200000000000004</v>
      </c>
      <c r="E28" s="50">
        <f>'Калькуляція ТД'!E26</f>
        <v>0</v>
      </c>
      <c r="F28" s="127"/>
    </row>
    <row r="29" spans="1:6" ht="59.3" customHeight="1" thickBot="1" x14ac:dyDescent="0.3">
      <c r="A29" s="55">
        <v>4</v>
      </c>
      <c r="B29" s="128" t="s">
        <v>74</v>
      </c>
      <c r="C29" s="129"/>
      <c r="D29" s="129"/>
      <c r="E29" s="129"/>
      <c r="F29" s="130"/>
    </row>
    <row r="30" spans="1:6" x14ac:dyDescent="0.25">
      <c r="A30" s="51" t="s">
        <v>15</v>
      </c>
      <c r="B30" s="52" t="s">
        <v>33</v>
      </c>
      <c r="C30" s="100">
        <f>'Калькуляція ТД'!C28</f>
        <v>0</v>
      </c>
      <c r="D30" s="53">
        <v>0.24099999999999999</v>
      </c>
      <c r="E30" s="54">
        <f>'Калькуляція ТД'!E28</f>
        <v>0</v>
      </c>
      <c r="F30" s="127">
        <f>C30*E47</f>
        <v>0</v>
      </c>
    </row>
    <row r="31" spans="1:6" x14ac:dyDescent="0.25">
      <c r="A31" s="38" t="s">
        <v>16</v>
      </c>
      <c r="B31" s="25" t="s">
        <v>34</v>
      </c>
      <c r="C31" s="100"/>
      <c r="D31" s="27">
        <v>0.31</v>
      </c>
      <c r="E31" s="28">
        <f>'Калькуляція ТД'!E29</f>
        <v>0</v>
      </c>
      <c r="F31" s="127"/>
    </row>
    <row r="32" spans="1:6" x14ac:dyDescent="0.25">
      <c r="A32" s="38" t="s">
        <v>17</v>
      </c>
      <c r="B32" s="25" t="s">
        <v>35</v>
      </c>
      <c r="C32" s="100"/>
      <c r="D32" s="27">
        <v>0.379</v>
      </c>
      <c r="E32" s="28">
        <f>'Калькуляція ТД'!E30</f>
        <v>0</v>
      </c>
      <c r="F32" s="127"/>
    </row>
    <row r="33" spans="1:6" x14ac:dyDescent="0.25">
      <c r="A33" s="38" t="s">
        <v>18</v>
      </c>
      <c r="B33" s="25" t="s">
        <v>36</v>
      </c>
      <c r="C33" s="100"/>
      <c r="D33" s="27">
        <v>0.44800000000000001</v>
      </c>
      <c r="E33" s="28">
        <f>'Калькуляція ТД'!E31</f>
        <v>0</v>
      </c>
      <c r="F33" s="127"/>
    </row>
    <row r="34" spans="1:6" x14ac:dyDescent="0.25">
      <c r="A34" s="38" t="s">
        <v>19</v>
      </c>
      <c r="B34" s="25" t="s">
        <v>37</v>
      </c>
      <c r="C34" s="100"/>
      <c r="D34" s="27">
        <v>0.51700000000000002</v>
      </c>
      <c r="E34" s="28">
        <f>'Калькуляція ТД'!E32</f>
        <v>0</v>
      </c>
      <c r="F34" s="127"/>
    </row>
    <row r="35" spans="1:6" x14ac:dyDescent="0.25">
      <c r="A35" s="38" t="s">
        <v>20</v>
      </c>
      <c r="B35" s="25" t="s">
        <v>38</v>
      </c>
      <c r="C35" s="100"/>
      <c r="D35" s="27">
        <v>0.58599999999999997</v>
      </c>
      <c r="E35" s="28">
        <f>'Калькуляція ТД'!E33</f>
        <v>0</v>
      </c>
      <c r="F35" s="127"/>
    </row>
    <row r="36" spans="1:6" x14ac:dyDescent="0.25">
      <c r="A36" s="38" t="s">
        <v>21</v>
      </c>
      <c r="B36" s="25" t="s">
        <v>39</v>
      </c>
      <c r="C36" s="100"/>
      <c r="D36" s="27">
        <v>0.621</v>
      </c>
      <c r="E36" s="28">
        <f>'Калькуляція ТД'!E34</f>
        <v>0</v>
      </c>
      <c r="F36" s="127"/>
    </row>
    <row r="37" spans="1:6" x14ac:dyDescent="0.25">
      <c r="A37" s="38" t="s">
        <v>22</v>
      </c>
      <c r="B37" s="25" t="s">
        <v>40</v>
      </c>
      <c r="C37" s="100"/>
      <c r="D37" s="27">
        <v>0.65500000000000003</v>
      </c>
      <c r="E37" s="28">
        <f>'Калькуляція ТД'!E35</f>
        <v>0</v>
      </c>
      <c r="F37" s="127"/>
    </row>
    <row r="38" spans="1:6" x14ac:dyDescent="0.25">
      <c r="A38" s="38" t="s">
        <v>23</v>
      </c>
      <c r="B38" s="25" t="s">
        <v>41</v>
      </c>
      <c r="C38" s="100"/>
      <c r="D38" s="27">
        <v>0.69</v>
      </c>
      <c r="E38" s="28">
        <f>'Калькуляція ТД'!E36</f>
        <v>0</v>
      </c>
      <c r="F38" s="127"/>
    </row>
    <row r="39" spans="1:6" x14ac:dyDescent="0.25">
      <c r="A39" s="38" t="s">
        <v>24</v>
      </c>
      <c r="B39" s="25" t="s">
        <v>42</v>
      </c>
      <c r="C39" s="100"/>
      <c r="D39" s="27">
        <v>0.72399999999999998</v>
      </c>
      <c r="E39" s="28">
        <f>'Калькуляція ТД'!E37</f>
        <v>0</v>
      </c>
      <c r="F39" s="127"/>
    </row>
    <row r="40" spans="1:6" x14ac:dyDescent="0.25">
      <c r="A40" s="38" t="s">
        <v>25</v>
      </c>
      <c r="B40" s="25" t="s">
        <v>43</v>
      </c>
      <c r="C40" s="100"/>
      <c r="D40" s="27">
        <v>0.75900000000000001</v>
      </c>
      <c r="E40" s="28">
        <f>'Калькуляція ТД'!E38</f>
        <v>0</v>
      </c>
      <c r="F40" s="127"/>
    </row>
    <row r="41" spans="1:6" x14ac:dyDescent="0.25">
      <c r="A41" s="38" t="s">
        <v>26</v>
      </c>
      <c r="B41" s="25" t="s">
        <v>44</v>
      </c>
      <c r="C41" s="100"/>
      <c r="D41" s="27">
        <v>0.79300000000000004</v>
      </c>
      <c r="E41" s="28">
        <f>'Калькуляція ТД'!E39</f>
        <v>0</v>
      </c>
      <c r="F41" s="127"/>
    </row>
    <row r="42" spans="1:6" x14ac:dyDescent="0.25">
      <c r="A42" s="38" t="s">
        <v>27</v>
      </c>
      <c r="B42" s="25" t="s">
        <v>45</v>
      </c>
      <c r="C42" s="100"/>
      <c r="D42" s="27">
        <v>0.82799999999999996</v>
      </c>
      <c r="E42" s="28">
        <f>'Калькуляція ТД'!E40</f>
        <v>0</v>
      </c>
      <c r="F42" s="127"/>
    </row>
    <row r="43" spans="1:6" x14ac:dyDescent="0.25">
      <c r="A43" s="38" t="s">
        <v>28</v>
      </c>
      <c r="B43" s="25" t="s">
        <v>46</v>
      </c>
      <c r="C43" s="100"/>
      <c r="D43" s="27">
        <v>0.86199999999999999</v>
      </c>
      <c r="E43" s="28">
        <f>'Калькуляція ТД'!E41</f>
        <v>0</v>
      </c>
      <c r="F43" s="127"/>
    </row>
    <row r="44" spans="1:6" x14ac:dyDescent="0.25">
      <c r="A44" s="38" t="s">
        <v>29</v>
      </c>
      <c r="B44" s="25" t="s">
        <v>47</v>
      </c>
      <c r="C44" s="100"/>
      <c r="D44" s="27">
        <v>0.89700000000000002</v>
      </c>
      <c r="E44" s="28">
        <f>'Калькуляція ТД'!E42</f>
        <v>0</v>
      </c>
      <c r="F44" s="127"/>
    </row>
    <row r="45" spans="1:6" x14ac:dyDescent="0.25">
      <c r="A45" s="38" t="s">
        <v>30</v>
      </c>
      <c r="B45" s="25" t="s">
        <v>48</v>
      </c>
      <c r="C45" s="100"/>
      <c r="D45" s="27">
        <v>0.93100000000000005</v>
      </c>
      <c r="E45" s="28">
        <f>'Калькуляція ТД'!E43</f>
        <v>0</v>
      </c>
      <c r="F45" s="127"/>
    </row>
    <row r="46" spans="1:6" x14ac:dyDescent="0.25">
      <c r="A46" s="38" t="s">
        <v>31</v>
      </c>
      <c r="B46" s="25" t="s">
        <v>49</v>
      </c>
      <c r="C46" s="100"/>
      <c r="D46" s="27">
        <v>0.96599999999999997</v>
      </c>
      <c r="E46" s="28">
        <f>'Калькуляція ТД'!E44</f>
        <v>0</v>
      </c>
      <c r="F46" s="127"/>
    </row>
    <row r="47" spans="1:6" x14ac:dyDescent="0.25">
      <c r="A47" s="38" t="s">
        <v>32</v>
      </c>
      <c r="B47" s="25" t="s">
        <v>50</v>
      </c>
      <c r="C47" s="101"/>
      <c r="D47" s="30">
        <v>1</v>
      </c>
      <c r="E47" s="28">
        <f>'Калькуляція ТД'!E45</f>
        <v>0</v>
      </c>
      <c r="F47" s="131"/>
    </row>
    <row r="48" spans="1:6" x14ac:dyDescent="0.25">
      <c r="A48" s="115"/>
      <c r="B48" s="117"/>
      <c r="C48" s="119" t="s">
        <v>54</v>
      </c>
      <c r="D48" s="121" t="s">
        <v>56</v>
      </c>
      <c r="E48" s="119" t="s">
        <v>62</v>
      </c>
      <c r="F48" s="122" t="s">
        <v>58</v>
      </c>
    </row>
    <row r="49" spans="1:6" ht="16.3" thickBot="1" x14ac:dyDescent="0.3">
      <c r="A49" s="116"/>
      <c r="B49" s="118"/>
      <c r="C49" s="120"/>
      <c r="D49" s="119"/>
      <c r="E49" s="120"/>
      <c r="F49" s="123"/>
    </row>
    <row r="50" spans="1:6" ht="111.1" customHeight="1" thickBot="1" x14ac:dyDescent="0.3">
      <c r="A50" s="42">
        <v>5</v>
      </c>
      <c r="B50" s="43" t="s">
        <v>75</v>
      </c>
      <c r="C50" s="44">
        <f>'Калькуляція ТД'!C47</f>
        <v>0</v>
      </c>
      <c r="D50" s="45">
        <v>1.103E-2</v>
      </c>
      <c r="E50" s="46">
        <f>'Калькуляція ТД'!E47</f>
        <v>0</v>
      </c>
      <c r="F50" s="47">
        <f>C50*E50*300</f>
        <v>0</v>
      </c>
    </row>
    <row r="51" spans="1:6" x14ac:dyDescent="0.25">
      <c r="A51" s="110" t="s">
        <v>60</v>
      </c>
      <c r="B51" s="111"/>
      <c r="C51" s="111"/>
      <c r="D51" s="111"/>
      <c r="E51" s="111"/>
      <c r="F51" s="41">
        <f>F30+F14+F12+F11+F50</f>
        <v>0</v>
      </c>
    </row>
    <row r="52" spans="1:6" x14ac:dyDescent="0.25">
      <c r="A52" s="112" t="s">
        <v>59</v>
      </c>
      <c r="B52" s="78"/>
      <c r="C52" s="78"/>
      <c r="D52" s="78"/>
      <c r="E52" s="78"/>
      <c r="F52" s="39">
        <f>IF(C7="так",F51*0.2,0)</f>
        <v>0</v>
      </c>
    </row>
    <row r="53" spans="1:6" ht="16.3" thickBot="1" x14ac:dyDescent="0.3">
      <c r="A53" s="113" t="s">
        <v>61</v>
      </c>
      <c r="B53" s="114"/>
      <c r="C53" s="114"/>
      <c r="D53" s="114"/>
      <c r="E53" s="114"/>
      <c r="F53" s="40">
        <f>SUM(F51:F52)</f>
        <v>0</v>
      </c>
    </row>
    <row r="54" spans="1:6" x14ac:dyDescent="0.25">
      <c r="A54" s="17"/>
      <c r="B54" s="17"/>
      <c r="C54" s="17"/>
      <c r="D54" s="17"/>
      <c r="E54" s="17"/>
      <c r="F54" s="18"/>
    </row>
    <row r="55" spans="1:6" x14ac:dyDescent="0.25">
      <c r="A55" s="92" t="s">
        <v>68</v>
      </c>
      <c r="B55" s="92"/>
      <c r="C55" s="20">
        <f>C50+C30+C14</f>
        <v>0</v>
      </c>
    </row>
    <row r="57" spans="1:6" x14ac:dyDescent="0.25">
      <c r="A57" s="105" t="s">
        <v>76</v>
      </c>
      <c r="B57" s="105"/>
      <c r="C57" s="5"/>
      <c r="D57" s="105" t="s">
        <v>80</v>
      </c>
      <c r="E57" s="105"/>
      <c r="F57" s="105"/>
    </row>
    <row r="58" spans="1:6" x14ac:dyDescent="0.25">
      <c r="A58" s="5"/>
      <c r="B58" s="5"/>
      <c r="C58" s="5"/>
      <c r="D58" s="105"/>
      <c r="E58" s="105"/>
      <c r="F58" s="105"/>
    </row>
    <row r="59" spans="1:6" ht="45.7" customHeight="1" x14ac:dyDescent="0.25">
      <c r="A59" s="106" t="s">
        <v>77</v>
      </c>
      <c r="B59" s="106"/>
      <c r="C59" s="5"/>
      <c r="D59" s="108"/>
      <c r="E59" s="108"/>
      <c r="F59" s="108"/>
    </row>
    <row r="60" spans="1:6" x14ac:dyDescent="0.25">
      <c r="A60" s="5"/>
      <c r="B60" s="5"/>
      <c r="C60" s="5"/>
      <c r="D60" s="5"/>
      <c r="E60" s="5"/>
      <c r="F60" s="5"/>
    </row>
    <row r="61" spans="1:6" x14ac:dyDescent="0.25">
      <c r="A61" s="6" t="s">
        <v>78</v>
      </c>
      <c r="B61" s="6"/>
      <c r="C61" s="5"/>
      <c r="D61" s="108"/>
      <c r="E61" s="108"/>
      <c r="F61" s="108"/>
    </row>
    <row r="62" spans="1:6" x14ac:dyDescent="0.25">
      <c r="A62" s="5"/>
      <c r="B62" s="5"/>
      <c r="C62" s="5"/>
      <c r="D62" s="5"/>
      <c r="E62" s="5"/>
      <c r="F62" s="5"/>
    </row>
    <row r="63" spans="1:6" x14ac:dyDescent="0.25">
      <c r="A63" s="107" t="s">
        <v>79</v>
      </c>
      <c r="B63" s="107"/>
      <c r="C63" s="5"/>
      <c r="D63" s="109" t="s">
        <v>84</v>
      </c>
      <c r="E63" s="109"/>
      <c r="F63" s="109"/>
    </row>
  </sheetData>
  <mergeCells count="33">
    <mergeCell ref="A4:F4"/>
    <mergeCell ref="A5:F5"/>
    <mergeCell ref="A7:B7"/>
    <mergeCell ref="A9:A10"/>
    <mergeCell ref="B9:B10"/>
    <mergeCell ref="C9:C10"/>
    <mergeCell ref="D9:D10"/>
    <mergeCell ref="E9:E10"/>
    <mergeCell ref="F9:F10"/>
    <mergeCell ref="F48:F49"/>
    <mergeCell ref="B13:F13"/>
    <mergeCell ref="C14:C28"/>
    <mergeCell ref="F14:F28"/>
    <mergeCell ref="B29:F29"/>
    <mergeCell ref="C30:C47"/>
    <mergeCell ref="F30:F47"/>
    <mergeCell ref="A51:E51"/>
    <mergeCell ref="A52:E52"/>
    <mergeCell ref="A53:E53"/>
    <mergeCell ref="A55:B55"/>
    <mergeCell ref="A48:A49"/>
    <mergeCell ref="B48:B49"/>
    <mergeCell ref="C48:C49"/>
    <mergeCell ref="D48:D49"/>
    <mergeCell ref="E48:E49"/>
    <mergeCell ref="A57:B57"/>
    <mergeCell ref="A59:B59"/>
    <mergeCell ref="A63:B63"/>
    <mergeCell ref="D58:F58"/>
    <mergeCell ref="D59:F59"/>
    <mergeCell ref="D61:F61"/>
    <mergeCell ref="D63:F63"/>
    <mergeCell ref="D57:F57"/>
  </mergeCells>
  <dataValidations count="1">
    <dataValidation type="list" allowBlank="1" showInputMessage="1" showErrorMessage="1" sqref="C7" xr:uid="{00000000-0002-0000-0100-000000000000}">
      <formula1>$AF$1:$AF$2</formula1>
    </dataValidation>
  </dataValidations>
  <pageMargins left="0.70866141732283472" right="0.70866141732283472" top="0.74803149606299213" bottom="0.74803149606299213" header="0.31496062992125984" footer="0.31496062992125984"/>
  <pageSetup paperSize="9" scale="83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2</vt:i4>
      </vt:variant>
    </vt:vector>
  </HeadingPairs>
  <TitlesOfParts>
    <vt:vector size="4" baseType="lpstr">
      <vt:lpstr>Калькуляція ТД</vt:lpstr>
      <vt:lpstr>Калькуляція Договір 2</vt:lpstr>
      <vt:lpstr>'Калькуляція Договір 2'!Область_друку</vt:lpstr>
      <vt:lpstr>'Калькуляція ТД'!Область_друку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GL_ingener</dc:creator>
  <cp:lastModifiedBy>Сула Наталія Євгенівна</cp:lastModifiedBy>
  <cp:lastPrinted>2025-10-05T10:38:23Z</cp:lastPrinted>
  <dcterms:created xsi:type="dcterms:W3CDTF">2025-08-28T08:01:45Z</dcterms:created>
  <dcterms:modified xsi:type="dcterms:W3CDTF">2026-06-01T06:47:22Z</dcterms:modified>
</cp:coreProperties>
</file>